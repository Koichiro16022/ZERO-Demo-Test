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F16022\Desktop\バイブコーディング\PDF差分比較ツール　零\プレゼン用データ\小テスト\"/>
    </mc:Choice>
  </mc:AlternateContent>
  <xr:revisionPtr revIDLastSave="0" documentId="13_ncr:1_{7E337C1E-C26E-43F7-8367-3233501F6AB8}" xr6:coauthVersionLast="47" xr6:coauthVersionMax="47" xr10:uidLastSave="{00000000-0000-0000-0000-000000000000}"/>
  <bookViews>
    <workbookView xWindow="11628" yWindow="0" windowWidth="11508" windowHeight="13416" tabRatio="989" xr2:uid="{00000000-000D-0000-FFFF-FFFF00000000}"/>
  </bookViews>
  <sheets>
    <sheet name="問題文" sheetId="156" r:id="rId1"/>
    <sheet name="付属品検査(比較データ)" sheetId="153" r:id="rId2"/>
    <sheet name="寸法検査（比較データ）" sheetId="154" r:id="rId3"/>
    <sheet name="塗装検査（比較データ）" sheetId="155" r:id="rId4"/>
  </sheets>
  <definedNames>
    <definedName name="a">#REF!</definedName>
    <definedName name="_xlnm.Print_Area" localSheetId="2">'寸法検査（比較データ）'!$A$1:$L$58</definedName>
    <definedName name="_xlnm.Print_Area" localSheetId="3">'塗装検査（比較データ）'!$A$1:$N$69</definedName>
    <definedName name="_xlnm.Print_Area" localSheetId="1">'付属品検査(比較データ)'!$A$1:$L$49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155" l="1"/>
  <c r="H58" i="155"/>
  <c r="G58" i="155"/>
  <c r="E58" i="155"/>
  <c r="I57" i="155"/>
  <c r="H57" i="155"/>
  <c r="G57" i="155"/>
  <c r="F57" i="155"/>
  <c r="E57" i="155"/>
  <c r="I52" i="155"/>
  <c r="H52" i="155"/>
  <c r="G52" i="155"/>
  <c r="F52" i="155"/>
  <c r="E52" i="155"/>
  <c r="I51" i="155"/>
  <c r="H51" i="155"/>
  <c r="G51" i="155"/>
  <c r="F51" i="155"/>
  <c r="E51" i="155"/>
  <c r="N38" i="155"/>
  <c r="M38" i="155"/>
  <c r="L38" i="155"/>
  <c r="K38" i="155"/>
  <c r="J38" i="155"/>
  <c r="I38" i="155"/>
  <c r="H38" i="155"/>
  <c r="G38" i="155"/>
  <c r="F38" i="155"/>
  <c r="E38" i="155"/>
  <c r="N37" i="155"/>
  <c r="M37" i="155"/>
  <c r="L37" i="155"/>
  <c r="K37" i="155"/>
  <c r="J37" i="155"/>
  <c r="I37" i="155"/>
  <c r="H37" i="155"/>
  <c r="G37" i="155"/>
  <c r="F37" i="155"/>
  <c r="E37" i="155"/>
  <c r="N32" i="155"/>
  <c r="M32" i="155"/>
  <c r="L32" i="155"/>
  <c r="K32" i="155"/>
  <c r="J32" i="155"/>
  <c r="I32" i="155"/>
  <c r="H32" i="155"/>
  <c r="G32" i="155"/>
  <c r="F32" i="155"/>
  <c r="E32" i="155"/>
  <c r="N31" i="155"/>
  <c r="M31" i="155"/>
  <c r="L31" i="155"/>
  <c r="K31" i="155"/>
  <c r="I31" i="155"/>
  <c r="H31" i="155"/>
  <c r="G31" i="155"/>
  <c r="F31" i="155"/>
  <c r="E31" i="155"/>
  <c r="N18" i="155"/>
  <c r="M18" i="155"/>
  <c r="L18" i="155"/>
  <c r="K18" i="155"/>
  <c r="J18" i="155"/>
  <c r="I18" i="155"/>
  <c r="H18" i="155"/>
  <c r="G18" i="155"/>
  <c r="F18" i="155"/>
  <c r="E18" i="155"/>
  <c r="N17" i="155"/>
  <c r="M17" i="155"/>
  <c r="L17" i="155"/>
  <c r="K17" i="155"/>
  <c r="J17" i="155"/>
  <c r="I17" i="155"/>
  <c r="H17" i="155"/>
  <c r="G17" i="155"/>
  <c r="F17" i="155"/>
  <c r="E17" i="155"/>
  <c r="N12" i="155"/>
  <c r="M12" i="155"/>
  <c r="L12" i="155"/>
  <c r="J12" i="155"/>
  <c r="I12" i="155"/>
  <c r="H12" i="155"/>
  <c r="G12" i="155"/>
  <c r="F12" i="155"/>
  <c r="E12" i="155"/>
  <c r="N11" i="155"/>
  <c r="M11" i="155"/>
  <c r="L11" i="155"/>
  <c r="J11" i="155"/>
  <c r="I11" i="155"/>
  <c r="H11" i="155"/>
  <c r="G11" i="155"/>
  <c r="F11" i="155"/>
  <c r="E11" i="155"/>
</calcChain>
</file>

<file path=xl/sharedStrings.xml><?xml version="1.0" encoding="utf-8"?>
<sst xmlns="http://schemas.openxmlformats.org/spreadsheetml/2006/main" count="459" uniqueCount="111">
  <si>
    <t>№</t>
  </si>
  <si>
    <t>自主検査</t>
    <rPh sb="0" eb="2">
      <t>ジシュ</t>
    </rPh>
    <rPh sb="2" eb="4">
      <t>ケンサ</t>
    </rPh>
    <phoneticPr fontId="2"/>
  </si>
  <si>
    <t>図面寸法</t>
  </si>
  <si>
    <t>許容差</t>
  </si>
  <si>
    <t>自主検査</t>
  </si>
  <si>
    <t>判定</t>
    <rPh sb="0" eb="2">
      <t>ハンテイ</t>
    </rPh>
    <phoneticPr fontId="2"/>
  </si>
  <si>
    <t>左</t>
    <rPh sb="0" eb="1">
      <t>ヒダリ</t>
    </rPh>
    <phoneticPr fontId="2"/>
  </si>
  <si>
    <t>右</t>
    <rPh sb="0" eb="1">
      <t>ミギ</t>
    </rPh>
    <phoneticPr fontId="2"/>
  </si>
  <si>
    <t>±1</t>
    <phoneticPr fontId="2"/>
  </si>
  <si>
    <t>±8</t>
    <phoneticPr fontId="2"/>
  </si>
  <si>
    <t>±6</t>
    <phoneticPr fontId="2"/>
  </si>
  <si>
    <t>名　　称</t>
  </si>
  <si>
    <t>個数</t>
  </si>
  <si>
    <t>8×10</t>
  </si>
  <si>
    <t>12×14</t>
  </si>
  <si>
    <t>13×17</t>
  </si>
  <si>
    <t>19×22</t>
  </si>
  <si>
    <t>24×27</t>
  </si>
  <si>
    <t>30×32</t>
  </si>
  <si>
    <t>フィルターレンチ</t>
  </si>
  <si>
    <t>社内検査</t>
    <rPh sb="0" eb="2">
      <t>シャナイ</t>
    </rPh>
    <rPh sb="2" eb="4">
      <t>ケンサ</t>
    </rPh>
    <phoneticPr fontId="2"/>
  </si>
  <si>
    <t>客先検査</t>
    <rPh sb="0" eb="2">
      <t>キャクサキ</t>
    </rPh>
    <rPh sb="2" eb="4">
      <t>ケンサ</t>
    </rPh>
    <phoneticPr fontId="2"/>
  </si>
  <si>
    <t>―</t>
  </si>
  <si>
    <t>―</t>
    <phoneticPr fontId="2"/>
  </si>
  <si>
    <t>社内検査</t>
    <rPh sb="0" eb="2">
      <t>シャナイ</t>
    </rPh>
    <phoneticPr fontId="2"/>
  </si>
  <si>
    <t>検査日</t>
    <rPh sb="0" eb="2">
      <t>ケンサ</t>
    </rPh>
    <rPh sb="2" eb="3">
      <t>ビ</t>
    </rPh>
    <phoneticPr fontId="2"/>
  </si>
  <si>
    <t>検査者</t>
    <rPh sb="0" eb="2">
      <t>ケンサ</t>
    </rPh>
    <rPh sb="2" eb="3">
      <t>シャ</t>
    </rPh>
    <phoneticPr fontId="2"/>
  </si>
  <si>
    <t>自主検査</t>
    <phoneticPr fontId="2"/>
  </si>
  <si>
    <t>結　　果</t>
  </si>
  <si>
    <t>社内検査</t>
  </si>
  <si>
    <t>客先検査</t>
  </si>
  <si>
    <t>燃料仕切弁</t>
    <rPh sb="0" eb="2">
      <t>ネンリョウ</t>
    </rPh>
    <rPh sb="2" eb="5">
      <t>シキリベン</t>
    </rPh>
    <phoneticPr fontId="2"/>
  </si>
  <si>
    <t>燃料可とう管</t>
    <rPh sb="0" eb="2">
      <t>ネンリョウ</t>
    </rPh>
    <rPh sb="2" eb="3">
      <t>カ</t>
    </rPh>
    <rPh sb="5" eb="6">
      <t>カン</t>
    </rPh>
    <phoneticPr fontId="2"/>
  </si>
  <si>
    <t>プライヤ</t>
  </si>
  <si>
    <t>１）主要寸法を承諾図と照合する。</t>
    <rPh sb="7" eb="9">
      <t>ショウダク</t>
    </rPh>
    <phoneticPr fontId="2"/>
  </si>
  <si>
    <t>単位：μm</t>
    <rPh sb="0" eb="2">
      <t>タンイ</t>
    </rPh>
    <phoneticPr fontId="2"/>
  </si>
  <si>
    <t>備考</t>
    <rPh sb="0" eb="2">
      <t>ビコウ</t>
    </rPh>
    <phoneticPr fontId="2"/>
  </si>
  <si>
    <t>ツールケース</t>
    <phoneticPr fontId="2"/>
  </si>
  <si>
    <t>内面</t>
    <rPh sb="0" eb="2">
      <t>ナイメン</t>
    </rPh>
    <phoneticPr fontId="2"/>
  </si>
  <si>
    <t>キャンパスダクト</t>
    <phoneticPr fontId="2"/>
  </si>
  <si>
    <t>単位（mm）</t>
    <phoneticPr fontId="2"/>
  </si>
  <si>
    <t>準拠規格：JIS　B　0405極粗級</t>
    <phoneticPr fontId="2"/>
  </si>
  <si>
    <t>上</t>
    <rPh sb="0" eb="1">
      <t>ウエ</t>
    </rPh>
    <phoneticPr fontId="2"/>
  </si>
  <si>
    <t>下</t>
    <rPh sb="0" eb="1">
      <t>シタ</t>
    </rPh>
    <phoneticPr fontId="2"/>
  </si>
  <si>
    <t>２）測定箇所</t>
    <phoneticPr fontId="2"/>
  </si>
  <si>
    <t>レンチ</t>
    <phoneticPr fontId="2"/>
  </si>
  <si>
    <t>スクリュードライバー</t>
    <phoneticPr fontId="2"/>
  </si>
  <si>
    <t>型　式　等</t>
    <rPh sb="0" eb="1">
      <t>カタ</t>
    </rPh>
    <rPh sb="2" eb="3">
      <t>シキ</t>
    </rPh>
    <rPh sb="4" eb="5">
      <t>ナド</t>
    </rPh>
    <phoneticPr fontId="2"/>
  </si>
  <si>
    <t>2500</t>
    <phoneticPr fontId="2"/>
  </si>
  <si>
    <t>25A</t>
    <phoneticPr fontId="2"/>
  </si>
  <si>
    <t>排気伸縮管</t>
    <rPh sb="0" eb="2">
      <t>ハイキ</t>
    </rPh>
    <rPh sb="2" eb="5">
      <t>シンシュクカン</t>
    </rPh>
    <phoneticPr fontId="2"/>
  </si>
  <si>
    <t>1450</t>
    <phoneticPr fontId="2"/>
  </si>
  <si>
    <t>2400</t>
    <phoneticPr fontId="2"/>
  </si>
  <si>
    <t>1350</t>
    <phoneticPr fontId="2"/>
  </si>
  <si>
    <t>205</t>
    <phoneticPr fontId="2"/>
  </si>
  <si>
    <t>±3</t>
    <phoneticPr fontId="2"/>
  </si>
  <si>
    <t>36-Φ13</t>
    <phoneticPr fontId="2"/>
  </si>
  <si>
    <t>※5～22はボルト穴とボルト径の差とする。</t>
    <rPh sb="9" eb="10">
      <t>アナ</t>
    </rPh>
    <rPh sb="14" eb="15">
      <t>ケイ</t>
    </rPh>
    <rPh sb="16" eb="17">
      <t>サ</t>
    </rPh>
    <phoneticPr fontId="2"/>
  </si>
  <si>
    <t>　　・ディーゼル発電機内部配置図　</t>
    <rPh sb="11" eb="13">
      <t>ナイブ</t>
    </rPh>
    <rPh sb="13" eb="16">
      <t>ハイチズガイデンキ</t>
    </rPh>
    <phoneticPr fontId="2"/>
  </si>
  <si>
    <t>３.寸法検査成績書</t>
    <rPh sb="2" eb="4">
      <t>スンポウ</t>
    </rPh>
    <rPh sb="4" eb="6">
      <t>ケンサ</t>
    </rPh>
    <rPh sb="6" eb="9">
      <t>セイセキショ</t>
    </rPh>
    <phoneticPr fontId="2"/>
  </si>
  <si>
    <t>３．２　排風口</t>
    <rPh sb="4" eb="6">
      <t>ハイフウ</t>
    </rPh>
    <rPh sb="6" eb="7">
      <t>クチ</t>
    </rPh>
    <phoneticPr fontId="2"/>
  </si>
  <si>
    <t>４.塗装検査成績書</t>
    <rPh sb="2" eb="4">
      <t>トソウ</t>
    </rPh>
    <rPh sb="4" eb="6">
      <t>ケンサ</t>
    </rPh>
    <rPh sb="6" eb="9">
      <t>セイセキショ</t>
    </rPh>
    <phoneticPr fontId="2"/>
  </si>
  <si>
    <t>１４.付属品検査成績書</t>
    <rPh sb="3" eb="5">
      <t>フゾク</t>
    </rPh>
    <rPh sb="5" eb="6">
      <t>ヒン</t>
    </rPh>
    <rPh sb="6" eb="8">
      <t>ケンサ</t>
    </rPh>
    <rPh sb="8" eb="11">
      <t>セイセキショ</t>
    </rPh>
    <phoneticPr fontId="2"/>
  </si>
  <si>
    <t>―　年　―　月　―　日</t>
    <phoneticPr fontId="2"/>
  </si>
  <si>
    <t>アンカーボルト(発電機用）</t>
    <rPh sb="8" eb="11">
      <t>ハツデンキ</t>
    </rPh>
    <rPh sb="11" eb="12">
      <t>ヨウ</t>
    </rPh>
    <phoneticPr fontId="2"/>
  </si>
  <si>
    <t>アンカーボルト(サービスタンク用）</t>
    <rPh sb="15" eb="16">
      <t>ヨウ</t>
    </rPh>
    <phoneticPr fontId="2"/>
  </si>
  <si>
    <t>350A</t>
    <phoneticPr fontId="2"/>
  </si>
  <si>
    <t>M16　ケミカル</t>
    <phoneticPr fontId="2"/>
  </si>
  <si>
    <t>標準工具</t>
    <phoneticPr fontId="2"/>
  </si>
  <si>
    <t>４．１　パッケージ</t>
    <phoneticPr fontId="2"/>
  </si>
  <si>
    <t>良</t>
    <rPh sb="0" eb="1">
      <t>リョウ</t>
    </rPh>
    <phoneticPr fontId="2"/>
  </si>
  <si>
    <t>２０２５年　１１月　　５日</t>
    <rPh sb="8" eb="9">
      <t>ツキ</t>
    </rPh>
    <phoneticPr fontId="2"/>
  </si>
  <si>
    <t>２０２５年　１１月　　５日</t>
    <rPh sb="4" eb="5">
      <t>ネン</t>
    </rPh>
    <phoneticPr fontId="2"/>
  </si>
  <si>
    <t>平野　俊介</t>
    <rPh sb="0" eb="2">
      <t>ヒラノ</t>
    </rPh>
    <rPh sb="3" eb="5">
      <t>シュンスケ</t>
    </rPh>
    <phoneticPr fontId="2"/>
  </si>
  <si>
    <t>２０２５年　１１月　１７日</t>
    <phoneticPr fontId="2"/>
  </si>
  <si>
    <t>合格</t>
    <rPh sb="0" eb="2">
      <t>ゴウカク</t>
    </rPh>
    <phoneticPr fontId="2"/>
  </si>
  <si>
    <t>石田　耕一郎</t>
    <rPh sb="0" eb="2">
      <t>イシダ</t>
    </rPh>
    <rPh sb="3" eb="6">
      <t>コウイチロウ</t>
    </rPh>
    <phoneticPr fontId="2"/>
  </si>
  <si>
    <t>２０２５年　１２月　　３日</t>
    <phoneticPr fontId="2"/>
  </si>
  <si>
    <t>２０２５年　１２月　　２日</t>
    <phoneticPr fontId="2"/>
  </si>
  <si>
    <t>２０２５年　１２月　　２日</t>
    <rPh sb="4" eb="5">
      <t>ネン</t>
    </rPh>
    <phoneticPr fontId="2"/>
  </si>
  <si>
    <t>末松　卓弥</t>
    <rPh sb="0" eb="2">
      <t>スエマツ</t>
    </rPh>
    <rPh sb="3" eb="4">
      <t>タク</t>
    </rPh>
    <rPh sb="4" eb="5">
      <t>ヤ</t>
    </rPh>
    <phoneticPr fontId="2"/>
  </si>
  <si>
    <t>30A</t>
    <phoneticPr fontId="2"/>
  </si>
  <si>
    <t>―</t>
    <phoneticPr fontId="2"/>
  </si>
  <si>
    <t>―</t>
    <phoneticPr fontId="2"/>
  </si>
  <si>
    <t>判定基準：内面80μm以上</t>
    <rPh sb="0" eb="4">
      <t>ハンテイキジュン</t>
    </rPh>
    <phoneticPr fontId="2"/>
  </si>
  <si>
    <t>―</t>
    <phoneticPr fontId="2"/>
  </si>
  <si>
    <t>最低</t>
    <rPh sb="0" eb="2">
      <t>サイテイ</t>
    </rPh>
    <phoneticPr fontId="2"/>
  </si>
  <si>
    <t>平均</t>
    <rPh sb="0" eb="2">
      <t>ヘイキン</t>
    </rPh>
    <phoneticPr fontId="2"/>
  </si>
  <si>
    <t>検査対象の成績書</t>
  </si>
  <si>
    <t>1. 付属品検査成績書</t>
  </si>
  <si>
    <t>2. 寸法検査成績書</t>
  </si>
  <si>
    <t>3. 塗装検査成績書</t>
  </si>
  <si>
    <t>異常・判定不能と
判断した箇所の合計数</t>
    <phoneticPr fontId="2"/>
  </si>
  <si>
    <t>合計チェック時間</t>
    <phoneticPr fontId="2"/>
  </si>
  <si>
    <t>箇所</t>
    <phoneticPr fontId="2"/>
  </si>
  <si>
    <t>早くチェックが終わることが重要ではありません。</t>
    <rPh sb="13" eb="15">
      <t>ジュウヨウ</t>
    </rPh>
    <phoneticPr fontId="2"/>
  </si>
  <si>
    <t>いかに正しく、間違いを漏れなく見つけることを最優先してください。</t>
    <rPh sb="3" eb="4">
      <t>タダ</t>
    </rPh>
    <rPh sb="7" eb="9">
      <t>マチガ</t>
    </rPh>
    <rPh sb="11" eb="12">
      <t>モ</t>
    </rPh>
    <rPh sb="15" eb="16">
      <t>ミ</t>
    </rPh>
    <rPh sb="22" eb="25">
      <t>サイユウセン</t>
    </rPh>
    <phoneticPr fontId="2"/>
  </si>
  <si>
    <t>明確な間違いだけでなく、「数値的に怪しい」「判定に迷う」と</t>
    <rPh sb="13" eb="15">
      <t>スウチ</t>
    </rPh>
    <phoneticPr fontId="2"/>
  </si>
  <si>
    <t>感じた箇所はすべてカウントに含めてください。</t>
    <phoneticPr fontId="2"/>
  </si>
  <si>
    <t>検査成績書 突合せ点検</t>
    <rPh sb="6" eb="8">
      <t>ツキアワ</t>
    </rPh>
    <rPh sb="9" eb="11">
      <t>テンケン</t>
    </rPh>
    <phoneticPr fontId="2"/>
  </si>
  <si>
    <t>■ 解答・記録シート</t>
    <phoneticPr fontId="2"/>
  </si>
  <si>
    <t>■ルール</t>
    <phoneticPr fontId="2"/>
  </si>
  <si>
    <r>
      <t>1. 正確性最優先</t>
    </r>
    <r>
      <rPr>
        <sz val="11"/>
        <rFont val="ＭＳ Ｐゴシック"/>
        <family val="3"/>
        <charset val="128"/>
        <scheme val="major"/>
      </rPr>
      <t>:</t>
    </r>
  </si>
  <si>
    <r>
      <t>2. カウントの基準</t>
    </r>
    <r>
      <rPr>
        <sz val="11"/>
        <rFont val="ＭＳ Ｐゴシック"/>
        <family val="3"/>
        <charset val="128"/>
        <scheme val="major"/>
      </rPr>
      <t>:</t>
    </r>
  </si>
  <si>
    <t>回答してください。</t>
    <rPh sb="0" eb="2">
      <t>カイトウ</t>
    </rPh>
    <phoneticPr fontId="2"/>
  </si>
  <si>
    <t>2つの検査成績書（原本と比較データ）を照合し、比較データに間違いがいくつあるかを</t>
    <rPh sb="3" eb="5">
      <t>ケンサ</t>
    </rPh>
    <rPh sb="23" eb="25">
      <t>ヒカク</t>
    </rPh>
    <phoneticPr fontId="2"/>
  </si>
  <si>
    <t>不明な点があれば個別に質問してください。</t>
    <phoneticPr fontId="2"/>
  </si>
  <si>
    <r>
      <t>3. チェック完了時</t>
    </r>
    <r>
      <rPr>
        <sz val="11"/>
        <rFont val="ＭＳ Ｐゴシック"/>
        <family val="3"/>
        <charset val="128"/>
        <scheme val="major"/>
      </rPr>
      <t>:</t>
    </r>
    <rPh sb="7" eb="10">
      <t>カンリョウジ</t>
    </rPh>
    <phoneticPr fontId="2"/>
  </si>
  <si>
    <r>
      <t>4. 個別質問の受付</t>
    </r>
    <r>
      <rPr>
        <sz val="11"/>
        <rFont val="ＭＳ Ｐゴシック"/>
        <family val="3"/>
        <charset val="128"/>
        <scheme val="major"/>
      </rPr>
      <t>:</t>
    </r>
    <phoneticPr fontId="2"/>
  </si>
  <si>
    <t>チェックが完了したら挙手して教えてください。</t>
    <rPh sb="5" eb="7">
      <t>カンリョウ</t>
    </rPh>
    <rPh sb="10" eb="12">
      <t>キョシュ</t>
    </rPh>
    <rPh sb="14" eb="15">
      <t>オシ</t>
    </rPh>
    <phoneticPr fontId="2"/>
  </si>
  <si>
    <t>　分　　　　秒</t>
    <rPh sb="6" eb="7">
      <t>ビョウ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</si>
</sst>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2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b/>
      <sz val="13.5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5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3" xfId="0" applyFont="1" applyBorder="1">
      <alignment vertical="center"/>
    </xf>
    <xf numFmtId="0" fontId="6" fillId="0" borderId="11" xfId="0" applyFont="1" applyBorder="1" applyAlignment="1">
      <alignment horizontal="center" vertical="center" shrinkToFit="1"/>
    </xf>
    <xf numFmtId="0" fontId="0" fillId="0" borderId="5" xfId="0" applyBorder="1">
      <alignment vertical="center"/>
    </xf>
    <xf numFmtId="0" fontId="6" fillId="0" borderId="0" xfId="0" applyFont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 shrinkToFit="1"/>
    </xf>
    <xf numFmtId="0" fontId="7" fillId="0" borderId="4" xfId="0" applyFont="1" applyBorder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7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left" vertical="center" shrinkToFi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right" vertical="center"/>
    </xf>
    <xf numFmtId="0" fontId="7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right" vertical="center"/>
    </xf>
    <xf numFmtId="0" fontId="7" fillId="0" borderId="5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55" xfId="0" applyFont="1" applyBorder="1" applyAlignment="1">
      <alignment vertical="center" wrapText="1"/>
    </xf>
    <xf numFmtId="0" fontId="13" fillId="0" borderId="55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27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shrinkToFit="1"/>
    </xf>
    <xf numFmtId="0" fontId="7" fillId="0" borderId="12" xfId="0" applyFont="1" applyBorder="1" applyAlignment="1">
      <alignment horizontal="left" vertical="center" shrinkToFit="1"/>
    </xf>
    <xf numFmtId="0" fontId="7" fillId="0" borderId="13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180975</xdr:rowOff>
    </xdr:from>
    <xdr:to>
      <xdr:col>10</xdr:col>
      <xdr:colOff>85725</xdr:colOff>
      <xdr:row>27</xdr:row>
      <xdr:rowOff>142875</xdr:rowOff>
    </xdr:to>
    <xdr:pic>
      <xdr:nvPicPr>
        <xdr:cNvPr id="2" name="図 4">
          <a:extLst>
            <a:ext uri="{FF2B5EF4-FFF2-40B4-BE49-F238E27FC236}">
              <a16:creationId xmlns:a16="http://schemas.microsoft.com/office/drawing/2014/main" id="{2E407152-C3D6-4E5D-ACB5-86EB4FF0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514475"/>
          <a:ext cx="5305425" cy="377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FDCA-C0C3-4872-95E9-1E71FC6A13EB}">
  <dimension ref="A1:B31"/>
  <sheetViews>
    <sheetView tabSelected="1" view="pageBreakPreview" topLeftCell="A8" zoomScaleNormal="100" zoomScaleSheetLayoutView="100" workbookViewId="0">
      <selection activeCell="B13" sqref="B13"/>
    </sheetView>
  </sheetViews>
  <sheetFormatPr defaultColWidth="9" defaultRowHeight="13.2" x14ac:dyDescent="0.2"/>
  <cols>
    <col min="1" max="2" width="40.6640625" style="90" customWidth="1"/>
    <col min="3" max="3" width="27" style="90" customWidth="1"/>
    <col min="4" max="16384" width="9" style="90"/>
  </cols>
  <sheetData>
    <row r="1" spans="1:2" ht="24.9" customHeight="1" x14ac:dyDescent="0.2">
      <c r="A1" s="107" t="s">
        <v>99</v>
      </c>
      <c r="B1" s="107"/>
    </row>
    <row r="2" spans="1:2" ht="24.9" customHeight="1" x14ac:dyDescent="0.2"/>
    <row r="3" spans="1:2" ht="24.9" customHeight="1" x14ac:dyDescent="0.2">
      <c r="A3" s="90" t="s">
        <v>105</v>
      </c>
    </row>
    <row r="4" spans="1:2" ht="24.9" customHeight="1" x14ac:dyDescent="0.2">
      <c r="A4" s="90" t="s">
        <v>104</v>
      </c>
    </row>
    <row r="5" spans="1:2" ht="24.9" customHeight="1" x14ac:dyDescent="0.2"/>
    <row r="6" spans="1:2" ht="24.9" customHeight="1" x14ac:dyDescent="0.2">
      <c r="A6" s="91" t="s">
        <v>100</v>
      </c>
    </row>
    <row r="7" spans="1:2" ht="9" customHeight="1" thickBot="1" x14ac:dyDescent="0.25"/>
    <row r="8" spans="1:2" ht="30" customHeight="1" thickBot="1" x14ac:dyDescent="0.25">
      <c r="A8" s="93" t="s">
        <v>88</v>
      </c>
      <c r="B8" s="93" t="s">
        <v>92</v>
      </c>
    </row>
    <row r="9" spans="1:2" ht="30" customHeight="1" thickBot="1" x14ac:dyDescent="0.25">
      <c r="A9" s="92" t="s">
        <v>89</v>
      </c>
      <c r="B9" s="94" t="s">
        <v>94</v>
      </c>
    </row>
    <row r="10" spans="1:2" ht="30" customHeight="1" thickBot="1" x14ac:dyDescent="0.25">
      <c r="A10" s="92" t="s">
        <v>90</v>
      </c>
      <c r="B10" s="94" t="s">
        <v>94</v>
      </c>
    </row>
    <row r="11" spans="1:2" ht="30" customHeight="1" thickBot="1" x14ac:dyDescent="0.25">
      <c r="A11" s="92" t="s">
        <v>91</v>
      </c>
      <c r="B11" s="94" t="s">
        <v>94</v>
      </c>
    </row>
    <row r="12" spans="1:2" ht="30" customHeight="1" thickBot="1" x14ac:dyDescent="0.25">
      <c r="A12" s="92" t="s">
        <v>93</v>
      </c>
      <c r="B12" s="93" t="s">
        <v>110</v>
      </c>
    </row>
    <row r="13" spans="1:2" ht="24.9" customHeight="1" x14ac:dyDescent="0.2"/>
    <row r="14" spans="1:2" ht="24.9" customHeight="1" x14ac:dyDescent="0.2">
      <c r="A14" s="91" t="s">
        <v>101</v>
      </c>
    </row>
    <row r="15" spans="1:2" ht="24.9" customHeight="1" x14ac:dyDescent="0.2">
      <c r="A15" s="96" t="s">
        <v>102</v>
      </c>
    </row>
    <row r="16" spans="1:2" ht="24.9" customHeight="1" x14ac:dyDescent="0.2">
      <c r="A16" s="95" t="s">
        <v>95</v>
      </c>
    </row>
    <row r="17" spans="1:1" ht="24.9" customHeight="1" x14ac:dyDescent="0.2">
      <c r="A17" s="95" t="s">
        <v>96</v>
      </c>
    </row>
    <row r="18" spans="1:1" ht="24.9" customHeight="1" x14ac:dyDescent="0.2">
      <c r="A18" s="95"/>
    </row>
    <row r="19" spans="1:1" ht="24.9" customHeight="1" x14ac:dyDescent="0.2">
      <c r="A19" s="96" t="s">
        <v>103</v>
      </c>
    </row>
    <row r="20" spans="1:1" ht="24.9" customHeight="1" x14ac:dyDescent="0.2">
      <c r="A20" s="95" t="s">
        <v>97</v>
      </c>
    </row>
    <row r="21" spans="1:1" ht="24.9" customHeight="1" x14ac:dyDescent="0.2">
      <c r="A21" s="95" t="s">
        <v>98</v>
      </c>
    </row>
    <row r="22" spans="1:1" ht="24.9" customHeight="1" x14ac:dyDescent="0.2">
      <c r="A22" s="95"/>
    </row>
    <row r="23" spans="1:1" ht="24.9" customHeight="1" x14ac:dyDescent="0.2">
      <c r="A23" s="96" t="s">
        <v>107</v>
      </c>
    </row>
    <row r="24" spans="1:1" ht="24.9" customHeight="1" x14ac:dyDescent="0.2">
      <c r="A24" s="95" t="s">
        <v>109</v>
      </c>
    </row>
    <row r="25" spans="1:1" ht="24.9" customHeight="1" x14ac:dyDescent="0.2">
      <c r="A25" s="95"/>
    </row>
    <row r="26" spans="1:1" ht="24.9" customHeight="1" x14ac:dyDescent="0.2">
      <c r="A26" s="96" t="s">
        <v>108</v>
      </c>
    </row>
    <row r="27" spans="1:1" ht="24.9" customHeight="1" x14ac:dyDescent="0.2">
      <c r="A27" s="95" t="s">
        <v>106</v>
      </c>
    </row>
    <row r="28" spans="1:1" x14ac:dyDescent="0.2">
      <c r="A28" s="95"/>
    </row>
    <row r="29" spans="1:1" x14ac:dyDescent="0.2">
      <c r="A29" s="96"/>
    </row>
    <row r="30" spans="1:1" x14ac:dyDescent="0.2">
      <c r="A30" s="95"/>
    </row>
    <row r="31" spans="1:1" x14ac:dyDescent="0.2">
      <c r="A31" s="95"/>
    </row>
  </sheetData>
  <mergeCells count="1">
    <mergeCell ref="A1:B1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EDFF-2ECE-4C47-9813-6EC0401246B9}">
  <dimension ref="A1:T49"/>
  <sheetViews>
    <sheetView view="pageBreakPreview" topLeftCell="A6" zoomScaleNormal="100" zoomScaleSheetLayoutView="100" workbookViewId="0">
      <selection activeCell="K46" sqref="K46:L46"/>
    </sheetView>
  </sheetViews>
  <sheetFormatPr defaultRowHeight="15" customHeight="1" x14ac:dyDescent="0.2"/>
  <cols>
    <col min="1" max="1" width="2.44140625" customWidth="1"/>
    <col min="2" max="2" width="4.6640625" customWidth="1"/>
    <col min="3" max="3" width="12.44140625" customWidth="1"/>
    <col min="4" max="4" width="7.44140625" customWidth="1"/>
    <col min="5" max="5" width="15" customWidth="1"/>
    <col min="6" max="7" width="5.6640625" customWidth="1"/>
    <col min="8" max="9" width="4.44140625" customWidth="1"/>
    <col min="12" max="12" width="15.6640625" customWidth="1"/>
  </cols>
  <sheetData>
    <row r="1" spans="1:12" ht="15" customHeight="1" x14ac:dyDescent="0.2">
      <c r="A1" s="117" t="s">
        <v>62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15" customHeight="1" x14ac:dyDescent="0.2">
      <c r="A2" s="11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" customHeight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2" ht="15" customHeight="1" x14ac:dyDescent="0.2">
      <c r="A4" s="11"/>
      <c r="B4" s="118" t="s">
        <v>0</v>
      </c>
      <c r="C4" s="119" t="s">
        <v>11</v>
      </c>
      <c r="D4" s="120"/>
      <c r="E4" s="119" t="s">
        <v>47</v>
      </c>
      <c r="F4" s="120"/>
      <c r="G4" s="123" t="s">
        <v>12</v>
      </c>
      <c r="H4" s="110" t="s">
        <v>28</v>
      </c>
      <c r="I4" s="125"/>
      <c r="J4" s="125"/>
      <c r="K4" s="111"/>
      <c r="L4" s="108" t="s">
        <v>36</v>
      </c>
    </row>
    <row r="5" spans="1:12" ht="15" customHeight="1" x14ac:dyDescent="0.2">
      <c r="A5" s="11"/>
      <c r="B5" s="118"/>
      <c r="C5" s="121"/>
      <c r="D5" s="122"/>
      <c r="E5" s="121"/>
      <c r="F5" s="122"/>
      <c r="G5" s="124"/>
      <c r="H5" s="110" t="s">
        <v>4</v>
      </c>
      <c r="I5" s="111"/>
      <c r="J5" s="62" t="s">
        <v>29</v>
      </c>
      <c r="K5" s="62" t="s">
        <v>30</v>
      </c>
      <c r="L5" s="108"/>
    </row>
    <row r="6" spans="1:12" ht="18.75" customHeight="1" x14ac:dyDescent="0.2">
      <c r="A6" s="11"/>
      <c r="B6" s="62">
        <v>1</v>
      </c>
      <c r="C6" s="113" t="s">
        <v>50</v>
      </c>
      <c r="D6" s="114"/>
      <c r="E6" s="113" t="s">
        <v>66</v>
      </c>
      <c r="F6" s="114"/>
      <c r="G6" s="62">
        <v>1</v>
      </c>
      <c r="H6" s="110" t="s">
        <v>70</v>
      </c>
      <c r="I6" s="111"/>
      <c r="J6" s="62" t="s">
        <v>70</v>
      </c>
      <c r="K6" s="62" t="s">
        <v>23</v>
      </c>
      <c r="L6" s="51"/>
    </row>
    <row r="7" spans="1:12" ht="18.75" customHeight="1" x14ac:dyDescent="0.2">
      <c r="A7" s="11"/>
      <c r="B7" s="62">
        <v>2</v>
      </c>
      <c r="C7" s="113" t="s">
        <v>32</v>
      </c>
      <c r="D7" s="114"/>
      <c r="E7" s="113" t="s">
        <v>49</v>
      </c>
      <c r="F7" s="114"/>
      <c r="G7" s="62">
        <v>4</v>
      </c>
      <c r="H7" s="110" t="s">
        <v>70</v>
      </c>
      <c r="I7" s="111"/>
      <c r="J7" s="62" t="s">
        <v>70</v>
      </c>
      <c r="K7" s="62" t="s">
        <v>23</v>
      </c>
      <c r="L7" s="51"/>
    </row>
    <row r="8" spans="1:12" ht="18.75" customHeight="1" x14ac:dyDescent="0.2">
      <c r="A8" s="11"/>
      <c r="B8" s="62">
        <v>3</v>
      </c>
      <c r="C8" s="113" t="s">
        <v>31</v>
      </c>
      <c r="D8" s="114"/>
      <c r="E8" s="113" t="s">
        <v>81</v>
      </c>
      <c r="F8" s="114"/>
      <c r="G8" s="62">
        <v>3</v>
      </c>
      <c r="H8" s="110" t="s">
        <v>70</v>
      </c>
      <c r="I8" s="111"/>
      <c r="J8" s="62" t="s">
        <v>70</v>
      </c>
      <c r="K8" s="62" t="s">
        <v>23</v>
      </c>
      <c r="L8" s="51"/>
    </row>
    <row r="9" spans="1:12" ht="18.75" customHeight="1" x14ac:dyDescent="0.2">
      <c r="A9" s="11"/>
      <c r="B9" s="62">
        <v>4</v>
      </c>
      <c r="C9" s="113" t="s">
        <v>64</v>
      </c>
      <c r="D9" s="114"/>
      <c r="E9" s="113" t="s">
        <v>67</v>
      </c>
      <c r="F9" s="114"/>
      <c r="G9" s="62">
        <v>12</v>
      </c>
      <c r="H9" s="110" t="s">
        <v>70</v>
      </c>
      <c r="I9" s="111"/>
      <c r="J9" s="62" t="s">
        <v>70</v>
      </c>
      <c r="K9" s="62" t="s">
        <v>23</v>
      </c>
      <c r="L9" s="51"/>
    </row>
    <row r="10" spans="1:12" ht="18.75" customHeight="1" x14ac:dyDescent="0.2">
      <c r="A10" s="11"/>
      <c r="B10" s="62">
        <v>5</v>
      </c>
      <c r="C10" s="113" t="s">
        <v>65</v>
      </c>
      <c r="D10" s="114"/>
      <c r="E10" s="113" t="s">
        <v>67</v>
      </c>
      <c r="F10" s="114"/>
      <c r="G10" s="62">
        <v>4</v>
      </c>
      <c r="H10" s="110" t="s">
        <v>70</v>
      </c>
      <c r="I10" s="111"/>
      <c r="J10" s="62" t="s">
        <v>70</v>
      </c>
      <c r="K10" s="62" t="s">
        <v>23</v>
      </c>
      <c r="L10" s="51"/>
    </row>
    <row r="11" spans="1:12" ht="18.75" customHeight="1" x14ac:dyDescent="0.2">
      <c r="A11" s="11"/>
      <c r="B11" s="62">
        <v>6</v>
      </c>
      <c r="C11" s="113" t="s">
        <v>39</v>
      </c>
      <c r="D11" s="114"/>
      <c r="E11" s="113"/>
      <c r="F11" s="114"/>
      <c r="G11" s="62">
        <v>1</v>
      </c>
      <c r="H11" s="110" t="s">
        <v>70</v>
      </c>
      <c r="I11" s="111"/>
      <c r="J11" s="62" t="s">
        <v>70</v>
      </c>
      <c r="K11" s="62" t="s">
        <v>23</v>
      </c>
      <c r="L11" s="70"/>
    </row>
    <row r="12" spans="1:12" ht="18.75" customHeight="1" x14ac:dyDescent="0.2">
      <c r="A12" s="11"/>
      <c r="B12" s="62"/>
      <c r="C12" s="115"/>
      <c r="D12" s="116"/>
      <c r="E12" s="115"/>
      <c r="F12" s="116"/>
      <c r="G12" s="62"/>
      <c r="H12" s="68"/>
      <c r="I12" s="69"/>
      <c r="J12" s="62"/>
      <c r="K12" s="62"/>
      <c r="L12" s="71"/>
    </row>
    <row r="13" spans="1:12" ht="18.75" customHeight="1" x14ac:dyDescent="0.2">
      <c r="A13" s="11"/>
      <c r="B13" s="62"/>
      <c r="C13" s="113"/>
      <c r="D13" s="114"/>
      <c r="E13" s="113"/>
      <c r="F13" s="114"/>
      <c r="G13" s="62"/>
      <c r="H13" s="68"/>
      <c r="I13" s="69"/>
      <c r="J13" s="62"/>
      <c r="K13" s="62"/>
      <c r="L13" s="70"/>
    </row>
    <row r="14" spans="1:12" ht="18.75" customHeight="1" x14ac:dyDescent="0.2">
      <c r="A14" s="11"/>
      <c r="B14" s="62"/>
      <c r="C14" s="115"/>
      <c r="D14" s="116"/>
      <c r="E14" s="115"/>
      <c r="F14" s="116"/>
      <c r="G14" s="62"/>
      <c r="H14" s="68"/>
      <c r="I14" s="69"/>
      <c r="J14" s="62"/>
      <c r="K14" s="62"/>
      <c r="L14" s="71"/>
    </row>
    <row r="15" spans="1:12" ht="18.75" customHeight="1" x14ac:dyDescent="0.2">
      <c r="A15" s="11"/>
      <c r="B15" s="62"/>
      <c r="C15" s="113"/>
      <c r="D15" s="114"/>
      <c r="E15" s="113"/>
      <c r="F15" s="114"/>
      <c r="G15" s="62"/>
      <c r="H15" s="110"/>
      <c r="I15" s="111"/>
      <c r="J15" s="62"/>
      <c r="K15" s="62"/>
      <c r="L15" s="51"/>
    </row>
    <row r="16" spans="1:12" ht="18.75" customHeight="1" x14ac:dyDescent="0.2">
      <c r="A16" s="11"/>
      <c r="B16" s="62"/>
      <c r="C16" s="113"/>
      <c r="D16" s="114"/>
      <c r="E16" s="113"/>
      <c r="F16" s="114"/>
      <c r="G16" s="62"/>
      <c r="H16" s="110"/>
      <c r="I16" s="111"/>
      <c r="J16" s="62"/>
      <c r="K16" s="62"/>
      <c r="L16" s="51"/>
    </row>
    <row r="17" spans="1:12" ht="18.75" customHeight="1" x14ac:dyDescent="0.2">
      <c r="A17" s="11"/>
      <c r="B17" s="62"/>
      <c r="C17" s="113"/>
      <c r="D17" s="114"/>
      <c r="E17" s="113"/>
      <c r="F17" s="114"/>
      <c r="G17" s="62"/>
      <c r="H17" s="110"/>
      <c r="I17" s="111"/>
      <c r="J17" s="62"/>
      <c r="K17" s="62"/>
      <c r="L17" s="51"/>
    </row>
    <row r="18" spans="1:12" s="11" customFormat="1" ht="18.75" customHeight="1" x14ac:dyDescent="0.2">
      <c r="B18" s="62"/>
      <c r="C18" s="113"/>
      <c r="D18" s="114"/>
      <c r="E18" s="113"/>
      <c r="F18" s="114"/>
      <c r="G18" s="62"/>
      <c r="H18" s="110"/>
      <c r="I18" s="111"/>
      <c r="J18" s="62"/>
      <c r="K18" s="62"/>
      <c r="L18" s="51"/>
    </row>
    <row r="19" spans="1:12" ht="18.75" customHeight="1" x14ac:dyDescent="0.2">
      <c r="A19" s="11"/>
      <c r="B19" s="62"/>
      <c r="C19" s="110" t="s">
        <v>68</v>
      </c>
      <c r="D19" s="111"/>
      <c r="E19" s="113"/>
      <c r="F19" s="114"/>
      <c r="G19" s="62"/>
      <c r="H19" s="110"/>
      <c r="I19" s="111"/>
      <c r="J19" s="62"/>
      <c r="K19" s="62"/>
      <c r="L19" s="12"/>
    </row>
    <row r="20" spans="1:12" ht="18.75" customHeight="1" x14ac:dyDescent="0.2">
      <c r="A20" s="11"/>
      <c r="B20" s="62">
        <v>1</v>
      </c>
      <c r="C20" s="113" t="s">
        <v>37</v>
      </c>
      <c r="D20" s="114"/>
      <c r="E20" s="113"/>
      <c r="F20" s="114"/>
      <c r="G20" s="62">
        <v>1</v>
      </c>
      <c r="H20" s="110" t="s">
        <v>70</v>
      </c>
      <c r="I20" s="111"/>
      <c r="J20" s="62" t="s">
        <v>70</v>
      </c>
      <c r="K20" s="62" t="s">
        <v>23</v>
      </c>
      <c r="L20" s="12"/>
    </row>
    <row r="21" spans="1:12" ht="18.75" customHeight="1" x14ac:dyDescent="0.2">
      <c r="A21" s="11"/>
      <c r="B21" s="62">
        <v>2</v>
      </c>
      <c r="C21" s="113" t="s">
        <v>46</v>
      </c>
      <c r="D21" s="114"/>
      <c r="E21" s="113"/>
      <c r="F21" s="114"/>
      <c r="G21" s="62">
        <v>1</v>
      </c>
      <c r="H21" s="110" t="s">
        <v>70</v>
      </c>
      <c r="I21" s="111"/>
      <c r="J21" s="62" t="s">
        <v>70</v>
      </c>
      <c r="K21" s="62" t="s">
        <v>23</v>
      </c>
      <c r="L21" s="15"/>
    </row>
    <row r="22" spans="1:12" ht="18.75" customHeight="1" x14ac:dyDescent="0.2">
      <c r="A22" s="11"/>
      <c r="B22" s="62">
        <v>3</v>
      </c>
      <c r="C22" s="113" t="s">
        <v>33</v>
      </c>
      <c r="D22" s="114"/>
      <c r="E22" s="113"/>
      <c r="F22" s="114"/>
      <c r="G22" s="62">
        <v>1</v>
      </c>
      <c r="H22" s="110" t="s">
        <v>70</v>
      </c>
      <c r="I22" s="111"/>
      <c r="J22" s="62" t="s">
        <v>70</v>
      </c>
      <c r="K22" s="62" t="s">
        <v>23</v>
      </c>
      <c r="L22" s="15"/>
    </row>
    <row r="23" spans="1:12" ht="18.75" customHeight="1" x14ac:dyDescent="0.2">
      <c r="A23" s="11"/>
      <c r="B23" s="62">
        <v>4</v>
      </c>
      <c r="C23" s="113" t="s">
        <v>19</v>
      </c>
      <c r="D23" s="114"/>
      <c r="E23" s="113"/>
      <c r="F23" s="114"/>
      <c r="G23" s="62">
        <v>1</v>
      </c>
      <c r="H23" s="110" t="s">
        <v>70</v>
      </c>
      <c r="I23" s="111"/>
      <c r="J23" s="62" t="s">
        <v>70</v>
      </c>
      <c r="K23" s="62" t="s">
        <v>23</v>
      </c>
      <c r="L23" s="15"/>
    </row>
    <row r="24" spans="1:12" ht="18.75" customHeight="1" x14ac:dyDescent="0.2">
      <c r="A24" s="11"/>
      <c r="B24" s="62">
        <v>5</v>
      </c>
      <c r="C24" s="113" t="s">
        <v>45</v>
      </c>
      <c r="D24" s="114"/>
      <c r="E24" s="113" t="s">
        <v>13</v>
      </c>
      <c r="F24" s="114"/>
      <c r="G24" s="62">
        <v>1</v>
      </c>
      <c r="H24" s="110" t="s">
        <v>70</v>
      </c>
      <c r="I24" s="111"/>
      <c r="J24" s="62" t="s">
        <v>70</v>
      </c>
      <c r="K24" s="62" t="s">
        <v>23</v>
      </c>
      <c r="L24" s="15"/>
    </row>
    <row r="25" spans="1:12" ht="18.75" customHeight="1" x14ac:dyDescent="0.2">
      <c r="A25" s="11"/>
      <c r="B25" s="62">
        <v>6</v>
      </c>
      <c r="C25" s="113" t="s">
        <v>45</v>
      </c>
      <c r="D25" s="114"/>
      <c r="E25" s="113" t="s">
        <v>14</v>
      </c>
      <c r="F25" s="114"/>
      <c r="G25" s="62">
        <v>1</v>
      </c>
      <c r="H25" s="110" t="s">
        <v>70</v>
      </c>
      <c r="I25" s="111"/>
      <c r="J25" s="62" t="s">
        <v>70</v>
      </c>
      <c r="K25" s="62" t="s">
        <v>23</v>
      </c>
      <c r="L25" s="15"/>
    </row>
    <row r="26" spans="1:12" ht="18.75" customHeight="1" x14ac:dyDescent="0.2">
      <c r="A26" s="11"/>
      <c r="B26" s="62">
        <v>7</v>
      </c>
      <c r="C26" s="113" t="s">
        <v>45</v>
      </c>
      <c r="D26" s="114"/>
      <c r="E26" s="113" t="s">
        <v>15</v>
      </c>
      <c r="F26" s="114"/>
      <c r="G26" s="62">
        <v>1</v>
      </c>
      <c r="H26" s="110" t="s">
        <v>70</v>
      </c>
      <c r="I26" s="111"/>
      <c r="J26" s="62" t="s">
        <v>70</v>
      </c>
      <c r="K26" s="62" t="s">
        <v>23</v>
      </c>
      <c r="L26" s="15"/>
    </row>
    <row r="27" spans="1:12" ht="18.75" customHeight="1" x14ac:dyDescent="0.2">
      <c r="A27" s="11"/>
      <c r="B27" s="62">
        <v>8</v>
      </c>
      <c r="C27" s="113" t="s">
        <v>45</v>
      </c>
      <c r="D27" s="114"/>
      <c r="E27" s="113" t="s">
        <v>16</v>
      </c>
      <c r="F27" s="114"/>
      <c r="G27" s="62">
        <v>1</v>
      </c>
      <c r="H27" s="110" t="s">
        <v>70</v>
      </c>
      <c r="I27" s="111"/>
      <c r="J27" s="62" t="s">
        <v>23</v>
      </c>
      <c r="K27" s="62" t="s">
        <v>23</v>
      </c>
      <c r="L27" s="15"/>
    </row>
    <row r="28" spans="1:12" ht="18.75" customHeight="1" x14ac:dyDescent="0.2">
      <c r="A28" s="11"/>
      <c r="B28" s="62">
        <v>9</v>
      </c>
      <c r="C28" s="113" t="s">
        <v>45</v>
      </c>
      <c r="D28" s="114"/>
      <c r="E28" s="113" t="s">
        <v>17</v>
      </c>
      <c r="F28" s="114"/>
      <c r="G28" s="62">
        <v>1</v>
      </c>
      <c r="H28" s="110" t="s">
        <v>70</v>
      </c>
      <c r="I28" s="111"/>
      <c r="J28" s="62" t="s">
        <v>70</v>
      </c>
      <c r="K28" s="62" t="s">
        <v>23</v>
      </c>
      <c r="L28" s="15"/>
    </row>
    <row r="29" spans="1:12" ht="18.75" customHeight="1" x14ac:dyDescent="0.2">
      <c r="A29" s="11"/>
      <c r="B29" s="62">
        <v>10</v>
      </c>
      <c r="C29" s="113" t="s">
        <v>45</v>
      </c>
      <c r="D29" s="114"/>
      <c r="E29" s="113" t="s">
        <v>18</v>
      </c>
      <c r="F29" s="114"/>
      <c r="G29" s="62">
        <v>1</v>
      </c>
      <c r="H29" s="110" t="s">
        <v>70</v>
      </c>
      <c r="I29" s="111"/>
      <c r="J29" s="62" t="s">
        <v>70</v>
      </c>
      <c r="K29" s="62" t="s">
        <v>23</v>
      </c>
      <c r="L29" s="15"/>
    </row>
    <row r="30" spans="1:12" ht="18.75" customHeight="1" x14ac:dyDescent="0.2">
      <c r="A30" s="11"/>
      <c r="B30" s="62"/>
      <c r="C30" s="113"/>
      <c r="D30" s="114"/>
      <c r="E30" s="113"/>
      <c r="F30" s="114"/>
      <c r="G30" s="62"/>
      <c r="H30" s="110"/>
      <c r="I30" s="111"/>
      <c r="J30" s="62"/>
      <c r="K30" s="62"/>
      <c r="L30" s="51"/>
    </row>
    <row r="31" spans="1:12" ht="18.75" customHeight="1" x14ac:dyDescent="0.2">
      <c r="A31" s="11"/>
      <c r="B31" s="62"/>
      <c r="C31" s="113"/>
      <c r="D31" s="114"/>
      <c r="E31" s="113"/>
      <c r="F31" s="114"/>
      <c r="G31" s="62"/>
      <c r="H31" s="110"/>
      <c r="I31" s="111"/>
      <c r="J31" s="62"/>
      <c r="K31" s="62"/>
      <c r="L31" s="51"/>
    </row>
    <row r="32" spans="1:12" s="11" customFormat="1" ht="18.75" customHeight="1" x14ac:dyDescent="0.2">
      <c r="B32" s="62"/>
      <c r="C32" s="113"/>
      <c r="D32" s="114"/>
      <c r="E32" s="113"/>
      <c r="F32" s="114"/>
      <c r="G32" s="62"/>
      <c r="H32" s="110"/>
      <c r="I32" s="111"/>
      <c r="J32" s="62"/>
      <c r="K32" s="62"/>
      <c r="L32" s="51"/>
    </row>
    <row r="33" spans="1:20" ht="18.75" customHeight="1" x14ac:dyDescent="0.2">
      <c r="A33" s="11"/>
      <c r="B33" s="62"/>
      <c r="C33" s="113"/>
      <c r="D33" s="114"/>
      <c r="E33" s="113"/>
      <c r="F33" s="114"/>
      <c r="G33" s="62"/>
      <c r="H33" s="110"/>
      <c r="I33" s="111"/>
      <c r="J33" s="62"/>
      <c r="K33" s="62"/>
      <c r="L33" s="51"/>
    </row>
    <row r="34" spans="1:20" ht="18.75" customHeight="1" x14ac:dyDescent="0.2">
      <c r="A34" s="11"/>
      <c r="B34" s="62"/>
      <c r="C34" s="113"/>
      <c r="D34" s="114"/>
      <c r="E34" s="113"/>
      <c r="F34" s="114"/>
      <c r="G34" s="62"/>
      <c r="H34" s="110"/>
      <c r="I34" s="111"/>
      <c r="J34" s="62"/>
      <c r="K34" s="62"/>
      <c r="L34" s="51"/>
    </row>
    <row r="35" spans="1:20" s="11" customFormat="1" ht="18.75" customHeight="1" x14ac:dyDescent="0.2">
      <c r="B35" s="62"/>
      <c r="C35" s="113"/>
      <c r="D35" s="114"/>
      <c r="E35" s="113"/>
      <c r="F35" s="114"/>
      <c r="G35" s="62"/>
      <c r="H35" s="110"/>
      <c r="I35" s="111"/>
      <c r="J35" s="62"/>
      <c r="K35" s="62"/>
      <c r="L35" s="51"/>
    </row>
    <row r="36" spans="1:20" s="11" customFormat="1" ht="18.75" customHeight="1" x14ac:dyDescent="0.2">
      <c r="B36" s="62"/>
      <c r="C36" s="113"/>
      <c r="D36" s="114"/>
      <c r="E36" s="113"/>
      <c r="F36" s="114"/>
      <c r="G36" s="62"/>
      <c r="H36" s="110"/>
      <c r="I36" s="111"/>
      <c r="J36" s="62"/>
      <c r="K36" s="62"/>
      <c r="L36" s="51"/>
    </row>
    <row r="37" spans="1:20" s="11" customFormat="1" ht="18.75" customHeight="1" x14ac:dyDescent="0.2">
      <c r="B37" s="62"/>
      <c r="C37" s="113"/>
      <c r="D37" s="114"/>
      <c r="E37" s="113"/>
      <c r="F37" s="114"/>
      <c r="G37" s="62"/>
      <c r="H37" s="110"/>
      <c r="I37" s="111"/>
      <c r="J37" s="62"/>
      <c r="K37" s="62"/>
      <c r="L37" s="51"/>
    </row>
    <row r="38" spans="1:20" ht="18.75" customHeight="1" x14ac:dyDescent="0.2">
      <c r="A38" s="11"/>
      <c r="B38" s="62"/>
      <c r="C38" s="113"/>
      <c r="D38" s="114"/>
      <c r="E38" s="113"/>
      <c r="F38" s="114"/>
      <c r="G38" s="62"/>
      <c r="H38" s="110"/>
      <c r="I38" s="111"/>
      <c r="J38" s="62"/>
      <c r="K38" s="62"/>
      <c r="L38" s="51"/>
    </row>
    <row r="39" spans="1:20" ht="18.75" customHeight="1" x14ac:dyDescent="0.2">
      <c r="A39" s="11"/>
      <c r="B39" s="62"/>
      <c r="C39" s="113"/>
      <c r="D39" s="114"/>
      <c r="E39" s="113"/>
      <c r="F39" s="114"/>
      <c r="G39" s="62"/>
      <c r="H39" s="110"/>
      <c r="I39" s="111"/>
      <c r="J39" s="62"/>
      <c r="K39" s="62"/>
      <c r="L39" s="51"/>
    </row>
    <row r="40" spans="1:20" s="11" customFormat="1" ht="18.75" customHeight="1" x14ac:dyDescent="0.2">
      <c r="B40" s="62"/>
      <c r="C40" s="113"/>
      <c r="D40" s="114"/>
      <c r="E40" s="113"/>
      <c r="F40" s="114"/>
      <c r="G40" s="62"/>
      <c r="H40" s="110"/>
      <c r="I40" s="111"/>
      <c r="J40" s="62"/>
      <c r="K40" s="62"/>
      <c r="L40" s="51"/>
    </row>
    <row r="41" spans="1:20" ht="18.75" customHeight="1" x14ac:dyDescent="0.2">
      <c r="A41" s="11"/>
      <c r="B41" s="62"/>
      <c r="C41" s="109"/>
      <c r="D41" s="109"/>
      <c r="E41" s="109"/>
      <c r="F41" s="109"/>
      <c r="G41" s="15"/>
      <c r="H41" s="110"/>
      <c r="I41" s="111"/>
      <c r="J41" s="62"/>
      <c r="K41" s="62"/>
      <c r="L41" s="15"/>
    </row>
    <row r="42" spans="1:20" ht="18.75" customHeight="1" x14ac:dyDescent="0.2">
      <c r="A42" s="11"/>
      <c r="B42" s="62"/>
      <c r="C42" s="109"/>
      <c r="D42" s="109"/>
      <c r="E42" s="109"/>
      <c r="F42" s="109"/>
      <c r="G42" s="15"/>
      <c r="H42" s="110"/>
      <c r="I42" s="111"/>
      <c r="J42" s="62"/>
      <c r="K42" s="62"/>
      <c r="L42" s="15"/>
    </row>
    <row r="43" spans="1:20" ht="18.75" customHeight="1" x14ac:dyDescent="0.2">
      <c r="A43" s="11"/>
      <c r="B43" s="62"/>
      <c r="C43" s="109"/>
      <c r="D43" s="109"/>
      <c r="E43" s="109"/>
      <c r="F43" s="109"/>
      <c r="G43" s="15"/>
      <c r="H43" s="110"/>
      <c r="I43" s="111"/>
      <c r="J43" s="62"/>
      <c r="K43" s="62"/>
      <c r="L43" s="15"/>
    </row>
    <row r="44" spans="1:20" ht="18.75" customHeight="1" x14ac:dyDescent="0.2">
      <c r="A44" s="11"/>
      <c r="B44" s="52"/>
      <c r="C44" s="65"/>
      <c r="D44" s="65"/>
      <c r="E44" s="65"/>
      <c r="F44" s="65"/>
      <c r="G44" s="20"/>
      <c r="H44" s="20"/>
      <c r="I44" s="20"/>
      <c r="J44" s="20"/>
      <c r="K44" s="20"/>
    </row>
    <row r="45" spans="1:20" s="1" customFormat="1" ht="19.5" customHeight="1" x14ac:dyDescent="0.2">
      <c r="B45" s="112"/>
      <c r="C45" s="112"/>
      <c r="D45" s="108" t="s">
        <v>25</v>
      </c>
      <c r="E45" s="108"/>
      <c r="F45" s="108" t="s">
        <v>26</v>
      </c>
      <c r="G45" s="108"/>
      <c r="H45" s="108"/>
      <c r="I45" s="108"/>
      <c r="J45" s="108"/>
      <c r="K45" s="108" t="s">
        <v>5</v>
      </c>
      <c r="L45" s="108"/>
      <c r="M45" s="11"/>
      <c r="N45" s="11"/>
      <c r="O45" s="11"/>
      <c r="P45" s="11"/>
      <c r="Q45" s="11"/>
      <c r="R45" s="11"/>
      <c r="S45" s="11"/>
      <c r="T45" s="11"/>
    </row>
    <row r="46" spans="1:20" s="1" customFormat="1" ht="21.9" customHeight="1" x14ac:dyDescent="0.2">
      <c r="B46" s="108" t="s">
        <v>27</v>
      </c>
      <c r="C46" s="108"/>
      <c r="D46" s="108" t="s">
        <v>74</v>
      </c>
      <c r="E46" s="108"/>
      <c r="F46" s="108" t="s">
        <v>73</v>
      </c>
      <c r="G46" s="108"/>
      <c r="H46" s="108"/>
      <c r="I46" s="108"/>
      <c r="J46" s="108"/>
      <c r="K46" s="109" t="s">
        <v>75</v>
      </c>
      <c r="L46" s="109"/>
      <c r="M46"/>
      <c r="N46"/>
      <c r="O46"/>
      <c r="P46"/>
      <c r="Q46"/>
      <c r="R46"/>
      <c r="S46"/>
      <c r="T46"/>
    </row>
    <row r="47" spans="1:20" s="1" customFormat="1" ht="21.9" customHeight="1" x14ac:dyDescent="0.2">
      <c r="A47" s="5"/>
      <c r="B47" s="108" t="s">
        <v>24</v>
      </c>
      <c r="C47" s="108"/>
      <c r="D47" s="108" t="s">
        <v>77</v>
      </c>
      <c r="E47" s="108"/>
      <c r="F47" s="108" t="s">
        <v>76</v>
      </c>
      <c r="G47" s="108"/>
      <c r="H47" s="108"/>
      <c r="I47" s="108"/>
      <c r="J47" s="108"/>
      <c r="K47" s="109" t="s">
        <v>75</v>
      </c>
      <c r="L47" s="109"/>
      <c r="M47"/>
      <c r="N47"/>
      <c r="O47"/>
      <c r="P47"/>
      <c r="Q47"/>
      <c r="R47"/>
      <c r="S47"/>
      <c r="T47"/>
    </row>
    <row r="48" spans="1:20" s="1" customFormat="1" ht="21.9" customHeight="1" x14ac:dyDescent="0.2">
      <c r="A48" s="5"/>
      <c r="B48" s="108" t="s">
        <v>21</v>
      </c>
      <c r="C48" s="108"/>
      <c r="D48" s="108" t="s">
        <v>63</v>
      </c>
      <c r="E48" s="108"/>
      <c r="F48" s="108" t="s">
        <v>23</v>
      </c>
      <c r="G48" s="108"/>
      <c r="H48" s="108"/>
      <c r="I48" s="108"/>
      <c r="J48" s="108"/>
      <c r="K48" s="109" t="s">
        <v>82</v>
      </c>
      <c r="L48" s="109"/>
      <c r="M48"/>
      <c r="N48"/>
      <c r="O48"/>
      <c r="P48"/>
      <c r="Q48"/>
      <c r="R48"/>
      <c r="S48"/>
      <c r="T48"/>
    </row>
    <row r="49" ht="9.6" customHeight="1" x14ac:dyDescent="0.2"/>
  </sheetData>
  <mergeCells count="135">
    <mergeCell ref="C6:D6"/>
    <mergeCell ref="E6:F6"/>
    <mergeCell ref="H6:I6"/>
    <mergeCell ref="C7:D7"/>
    <mergeCell ref="E7:F7"/>
    <mergeCell ref="H7:I7"/>
    <mergeCell ref="A1:L1"/>
    <mergeCell ref="B4:B5"/>
    <mergeCell ref="C4:D5"/>
    <mergeCell ref="E4:F5"/>
    <mergeCell ref="G4:G5"/>
    <mergeCell ref="H4:K4"/>
    <mergeCell ref="L4:L5"/>
    <mergeCell ref="H5:I5"/>
    <mergeCell ref="C10:D10"/>
    <mergeCell ref="E10:F10"/>
    <mergeCell ref="H10:I10"/>
    <mergeCell ref="C11:D11"/>
    <mergeCell ref="E11:F11"/>
    <mergeCell ref="H11:I11"/>
    <mergeCell ref="C8:D8"/>
    <mergeCell ref="E8:F8"/>
    <mergeCell ref="H8:I8"/>
    <mergeCell ref="C9:D9"/>
    <mergeCell ref="E9:F9"/>
    <mergeCell ref="H9:I9"/>
    <mergeCell ref="C15:D15"/>
    <mergeCell ref="E15:F15"/>
    <mergeCell ref="H15:I15"/>
    <mergeCell ref="C16:D16"/>
    <mergeCell ref="E16:F16"/>
    <mergeCell ref="H16:I16"/>
    <mergeCell ref="C12:D12"/>
    <mergeCell ref="E12:F12"/>
    <mergeCell ref="C13:D13"/>
    <mergeCell ref="E13:F13"/>
    <mergeCell ref="C14:D14"/>
    <mergeCell ref="E14:F14"/>
    <mergeCell ref="C19:D19"/>
    <mergeCell ref="E19:F19"/>
    <mergeCell ref="H19:I19"/>
    <mergeCell ref="C20:D20"/>
    <mergeCell ref="E20:F20"/>
    <mergeCell ref="H20:I20"/>
    <mergeCell ref="C17:D17"/>
    <mergeCell ref="E17:F17"/>
    <mergeCell ref="H17:I17"/>
    <mergeCell ref="C18:D18"/>
    <mergeCell ref="E18:F18"/>
    <mergeCell ref="H18:I18"/>
    <mergeCell ref="C23:D23"/>
    <mergeCell ref="E23:F23"/>
    <mergeCell ref="H23:I23"/>
    <mergeCell ref="C24:D24"/>
    <mergeCell ref="E24:F24"/>
    <mergeCell ref="H24:I24"/>
    <mergeCell ref="C21:D21"/>
    <mergeCell ref="E21:F21"/>
    <mergeCell ref="H21:I21"/>
    <mergeCell ref="C22:D22"/>
    <mergeCell ref="E22:F22"/>
    <mergeCell ref="H22:I22"/>
    <mergeCell ref="C27:D27"/>
    <mergeCell ref="E27:F27"/>
    <mergeCell ref="H27:I27"/>
    <mergeCell ref="C28:D28"/>
    <mergeCell ref="E28:F28"/>
    <mergeCell ref="H28:I28"/>
    <mergeCell ref="C25:D25"/>
    <mergeCell ref="E25:F25"/>
    <mergeCell ref="H25:I25"/>
    <mergeCell ref="C26:D26"/>
    <mergeCell ref="E26:F26"/>
    <mergeCell ref="H26:I26"/>
    <mergeCell ref="C31:D31"/>
    <mergeCell ref="E31:F31"/>
    <mergeCell ref="H31:I31"/>
    <mergeCell ref="C32:D32"/>
    <mergeCell ref="E32:F32"/>
    <mergeCell ref="H32:I32"/>
    <mergeCell ref="C29:D29"/>
    <mergeCell ref="E29:F29"/>
    <mergeCell ref="H29:I29"/>
    <mergeCell ref="C30:D30"/>
    <mergeCell ref="E30:F30"/>
    <mergeCell ref="H30:I30"/>
    <mergeCell ref="C35:D35"/>
    <mergeCell ref="E35:F35"/>
    <mergeCell ref="H35:I35"/>
    <mergeCell ref="C36:D36"/>
    <mergeCell ref="E36:F36"/>
    <mergeCell ref="H36:I36"/>
    <mergeCell ref="C33:D33"/>
    <mergeCell ref="E33:F33"/>
    <mergeCell ref="H33:I33"/>
    <mergeCell ref="C34:D34"/>
    <mergeCell ref="E34:F34"/>
    <mergeCell ref="H34:I34"/>
    <mergeCell ref="C39:D39"/>
    <mergeCell ref="E39:F39"/>
    <mergeCell ref="H39:I39"/>
    <mergeCell ref="C40:D40"/>
    <mergeCell ref="E40:F40"/>
    <mergeCell ref="H40:I40"/>
    <mergeCell ref="C37:D37"/>
    <mergeCell ref="E37:F37"/>
    <mergeCell ref="H37:I37"/>
    <mergeCell ref="C38:D38"/>
    <mergeCell ref="E38:F38"/>
    <mergeCell ref="H38:I38"/>
    <mergeCell ref="C43:D43"/>
    <mergeCell ref="E43:F43"/>
    <mergeCell ref="H43:I43"/>
    <mergeCell ref="B45:C45"/>
    <mergeCell ref="D45:E45"/>
    <mergeCell ref="F45:J45"/>
    <mergeCell ref="C41:D41"/>
    <mergeCell ref="E41:F41"/>
    <mergeCell ref="H41:I41"/>
    <mergeCell ref="C42:D42"/>
    <mergeCell ref="E42:F42"/>
    <mergeCell ref="H42:I42"/>
    <mergeCell ref="B48:C48"/>
    <mergeCell ref="D48:E48"/>
    <mergeCell ref="F48:J48"/>
    <mergeCell ref="K48:L48"/>
    <mergeCell ref="K45:L45"/>
    <mergeCell ref="B46:C46"/>
    <mergeCell ref="D46:E46"/>
    <mergeCell ref="F46:J46"/>
    <mergeCell ref="K46:L46"/>
    <mergeCell ref="B47:C47"/>
    <mergeCell ref="D47:E47"/>
    <mergeCell ref="F47:J47"/>
    <mergeCell ref="K47:L47"/>
  </mergeCells>
  <phoneticPr fontId="2"/>
  <pageMargins left="0.74803149606299213" right="0.74803149606299213" top="0.98425196850393704" bottom="0.98425196850393704" header="0.51181102362204722" footer="0.51181102362204722"/>
  <pageSetup paperSize="9" scale="82" firstPageNumber="14" orientation="portrait" useFirstPageNumber="1" r:id="rId1"/>
  <headerFooter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52A7-1B4C-425B-B49F-F4F115A33033}">
  <dimension ref="A1:L61"/>
  <sheetViews>
    <sheetView view="pageBreakPreview" topLeftCell="A26" zoomScaleNormal="100" zoomScaleSheetLayoutView="100" workbookViewId="0">
      <selection activeCell="J55" sqref="J55:L57"/>
    </sheetView>
  </sheetViews>
  <sheetFormatPr defaultColWidth="9" defaultRowHeight="11.1" customHeight="1" x14ac:dyDescent="0.2"/>
  <cols>
    <col min="1" max="1" width="3.6640625" style="1" customWidth="1"/>
    <col min="2" max="2" width="8.109375" style="53" customWidth="1"/>
    <col min="3" max="7" width="7.6640625" style="1" customWidth="1"/>
    <col min="8" max="9" width="7.6640625" style="2" customWidth="1"/>
    <col min="10" max="12" width="7.6640625" style="1" customWidth="1"/>
    <col min="13" max="16384" width="9" style="1"/>
  </cols>
  <sheetData>
    <row r="1" spans="1:12" ht="15" customHeight="1" x14ac:dyDescent="0.2">
      <c r="B1" s="117" t="s">
        <v>59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15" customHeight="1" x14ac:dyDescent="0.2">
      <c r="A2" s="19"/>
      <c r="B2" s="19"/>
      <c r="C2" s="19"/>
      <c r="D2" s="19"/>
      <c r="E2" s="19"/>
      <c r="F2" s="19"/>
      <c r="G2" s="11"/>
      <c r="H2" s="11"/>
      <c r="I2" s="11"/>
      <c r="J2" s="11"/>
      <c r="K2" s="11"/>
      <c r="L2" s="11"/>
    </row>
    <row r="3" spans="1:12" ht="15" customHeight="1" x14ac:dyDescent="0.2">
      <c r="A3" s="66"/>
      <c r="B3" s="117" t="s">
        <v>60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4" spans="1:12" ht="15" customHeight="1" x14ac:dyDescent="0.2">
      <c r="B4" s="10"/>
      <c r="D4"/>
      <c r="E4"/>
      <c r="F4"/>
      <c r="G4"/>
      <c r="H4"/>
      <c r="I4"/>
    </row>
    <row r="5" spans="1:12" ht="15" customHeight="1" x14ac:dyDescent="0.2">
      <c r="B5" s="10" t="s">
        <v>34</v>
      </c>
      <c r="D5"/>
      <c r="E5"/>
      <c r="F5"/>
      <c r="G5"/>
      <c r="H5"/>
      <c r="I5"/>
    </row>
    <row r="6" spans="1:12" ht="15" customHeight="1" x14ac:dyDescent="0.2">
      <c r="B6" s="11" t="s">
        <v>58</v>
      </c>
      <c r="D6"/>
      <c r="E6"/>
      <c r="F6"/>
      <c r="G6"/>
      <c r="H6"/>
      <c r="I6"/>
    </row>
    <row r="7" spans="1:12" ht="15" customHeight="1" x14ac:dyDescent="0.2">
      <c r="B7" s="10"/>
      <c r="D7"/>
      <c r="E7"/>
      <c r="F7"/>
      <c r="G7"/>
      <c r="H7"/>
      <c r="I7"/>
    </row>
    <row r="8" spans="1:12" ht="15" customHeight="1" x14ac:dyDescent="0.2">
      <c r="B8" s="10" t="s">
        <v>44</v>
      </c>
      <c r="D8"/>
      <c r="E8"/>
      <c r="F8"/>
      <c r="G8"/>
      <c r="H8"/>
      <c r="I8"/>
    </row>
    <row r="9" spans="1:12" ht="15" customHeight="1" x14ac:dyDescent="0.2">
      <c r="B9" s="11"/>
      <c r="C9" s="54"/>
      <c r="D9" s="54"/>
      <c r="E9" s="54"/>
      <c r="F9" s="54"/>
      <c r="G9" s="54"/>
      <c r="H9" s="54"/>
      <c r="I9" s="54"/>
      <c r="J9" s="4"/>
      <c r="K9" s="4"/>
      <c r="L9" s="4"/>
    </row>
    <row r="10" spans="1:12" ht="15" customHeight="1" x14ac:dyDescent="0.2">
      <c r="C10" s="54"/>
      <c r="D10" s="54"/>
      <c r="E10" s="54"/>
      <c r="F10" s="54"/>
      <c r="G10" s="54"/>
      <c r="H10" s="54"/>
      <c r="I10" s="54"/>
      <c r="J10" s="4"/>
      <c r="K10" s="4"/>
      <c r="L10" s="4"/>
    </row>
    <row r="11" spans="1:12" ht="15" customHeight="1" x14ac:dyDescent="0.2">
      <c r="B11" s="1"/>
      <c r="C11" s="54"/>
      <c r="D11" s="54"/>
      <c r="E11" s="54"/>
      <c r="F11" s="54"/>
      <c r="G11" s="54"/>
      <c r="H11" s="54"/>
      <c r="I11" s="54"/>
      <c r="J11" s="4"/>
      <c r="K11" s="4"/>
      <c r="L11" s="4"/>
    </row>
    <row r="12" spans="1:12" ht="15" customHeight="1" x14ac:dyDescent="0.2">
      <c r="B12" s="1"/>
      <c r="C12" s="54"/>
      <c r="D12" s="54"/>
      <c r="E12" s="54"/>
      <c r="F12" s="54"/>
      <c r="G12" s="54"/>
      <c r="H12" s="54"/>
      <c r="I12" s="54"/>
      <c r="J12" s="4"/>
      <c r="K12" s="4"/>
      <c r="L12" s="4"/>
    </row>
    <row r="13" spans="1:12" ht="15" customHeight="1" x14ac:dyDescent="0.2">
      <c r="B13" s="1"/>
      <c r="C13" s="54"/>
      <c r="D13" s="54"/>
      <c r="E13" s="54"/>
      <c r="F13" s="54"/>
      <c r="G13" s="54"/>
      <c r="H13" s="54"/>
      <c r="I13" s="54"/>
      <c r="J13" s="4"/>
      <c r="K13" s="4"/>
      <c r="L13" s="4"/>
    </row>
    <row r="14" spans="1:12" ht="15" customHeight="1" x14ac:dyDescent="0.2">
      <c r="B14" s="1"/>
      <c r="C14" s="54"/>
      <c r="D14" s="54"/>
      <c r="E14" s="54"/>
      <c r="F14" s="54"/>
      <c r="G14" s="54"/>
      <c r="H14" s="54"/>
      <c r="I14" s="54"/>
      <c r="J14" s="4"/>
      <c r="K14" s="4"/>
      <c r="L14" s="4"/>
    </row>
    <row r="15" spans="1:12" ht="15" customHeight="1" x14ac:dyDescent="0.2">
      <c r="B15" s="1"/>
      <c r="C15" s="54"/>
      <c r="D15" s="54"/>
      <c r="E15" s="54"/>
      <c r="F15" s="54"/>
      <c r="G15" s="54"/>
      <c r="H15" s="54"/>
      <c r="I15" s="54"/>
      <c r="J15" s="4"/>
      <c r="K15" s="4"/>
      <c r="L15" s="4"/>
    </row>
    <row r="16" spans="1:12" ht="15" customHeight="1" x14ac:dyDescent="0.2">
      <c r="B16" s="1"/>
      <c r="C16" s="54"/>
      <c r="D16" s="54"/>
      <c r="E16" s="54"/>
      <c r="F16" s="54"/>
      <c r="G16" s="54"/>
      <c r="H16" s="54"/>
      <c r="I16" s="54"/>
      <c r="J16" s="4"/>
      <c r="K16" s="4"/>
      <c r="L16" s="4"/>
    </row>
    <row r="17" spans="2:12" ht="15" customHeight="1" x14ac:dyDescent="0.2">
      <c r="B17" s="1"/>
      <c r="C17" s="54"/>
      <c r="D17" s="54"/>
      <c r="E17" s="54"/>
      <c r="F17" s="54"/>
      <c r="G17" s="54"/>
      <c r="H17" s="54"/>
      <c r="I17" s="54"/>
      <c r="J17" s="4"/>
      <c r="K17" s="4"/>
      <c r="L17" s="4"/>
    </row>
    <row r="18" spans="2:12" ht="15" customHeight="1" x14ac:dyDescent="0.2">
      <c r="B18" s="1"/>
      <c r="C18" s="54"/>
      <c r="D18" s="54"/>
      <c r="E18" s="54"/>
      <c r="F18" s="54"/>
      <c r="G18" s="54"/>
      <c r="H18" s="54"/>
      <c r="I18" s="54"/>
      <c r="J18" s="4"/>
      <c r="K18" s="4"/>
      <c r="L18" s="4"/>
    </row>
    <row r="19" spans="2:12" ht="15" customHeight="1" x14ac:dyDescent="0.2">
      <c r="B19" s="1"/>
      <c r="C19" s="54"/>
      <c r="D19" s="54"/>
      <c r="E19" s="54"/>
      <c r="F19" s="54"/>
      <c r="G19" s="54"/>
      <c r="H19" s="54"/>
      <c r="I19" s="54"/>
      <c r="J19" s="4"/>
      <c r="K19" s="4"/>
      <c r="L19" s="4"/>
    </row>
    <row r="20" spans="2:12" ht="15" customHeight="1" x14ac:dyDescent="0.2">
      <c r="B20" s="1"/>
      <c r="C20" s="54"/>
      <c r="D20" s="54"/>
      <c r="E20" s="54"/>
      <c r="F20" s="54"/>
      <c r="G20" s="54"/>
      <c r="H20" s="54"/>
      <c r="I20" s="54"/>
      <c r="J20" s="4"/>
      <c r="K20" s="4"/>
      <c r="L20" s="4"/>
    </row>
    <row r="21" spans="2:12" ht="15" customHeight="1" x14ac:dyDescent="0.2">
      <c r="B21" s="1"/>
      <c r="C21" s="54"/>
      <c r="D21" s="54"/>
      <c r="E21" s="54"/>
      <c r="F21" s="54"/>
      <c r="G21" s="54"/>
      <c r="H21" s="54"/>
      <c r="I21" s="54"/>
      <c r="J21" s="4"/>
      <c r="K21" s="4"/>
      <c r="L21" s="4"/>
    </row>
    <row r="22" spans="2:12" ht="15" customHeight="1" x14ac:dyDescent="0.2">
      <c r="B22" s="1"/>
      <c r="C22" s="54"/>
      <c r="D22" s="54"/>
      <c r="E22" s="54"/>
      <c r="F22" s="54"/>
      <c r="G22" s="54"/>
      <c r="H22" s="54"/>
      <c r="I22" s="54"/>
      <c r="J22" s="4"/>
      <c r="K22" s="4"/>
      <c r="L22" s="4"/>
    </row>
    <row r="23" spans="2:12" ht="15" customHeight="1" x14ac:dyDescent="0.2">
      <c r="B23" s="1"/>
      <c r="C23" s="54"/>
      <c r="D23" s="54"/>
      <c r="E23" s="54"/>
      <c r="F23" s="54"/>
      <c r="G23" s="54"/>
      <c r="H23" s="54"/>
      <c r="I23" s="54"/>
      <c r="J23" s="4"/>
      <c r="K23" s="4"/>
      <c r="L23" s="4"/>
    </row>
    <row r="24" spans="2:12" ht="15" customHeight="1" x14ac:dyDescent="0.2">
      <c r="B24" s="1"/>
      <c r="C24" s="54"/>
      <c r="D24" s="54"/>
      <c r="E24" s="54"/>
      <c r="F24" s="54"/>
      <c r="G24" s="54"/>
      <c r="H24" s="54"/>
      <c r="I24" s="54"/>
      <c r="J24" s="4"/>
      <c r="K24" s="4"/>
      <c r="L24" s="4"/>
    </row>
    <row r="25" spans="2:12" ht="15" customHeight="1" x14ac:dyDescent="0.2">
      <c r="B25" s="1"/>
      <c r="C25" s="54"/>
      <c r="D25" s="54"/>
      <c r="E25" s="54"/>
      <c r="F25" s="54"/>
      <c r="G25" s="54"/>
      <c r="H25" s="54"/>
      <c r="I25" s="54"/>
      <c r="J25" s="4"/>
      <c r="K25" s="4"/>
      <c r="L25" s="4"/>
    </row>
    <row r="26" spans="2:12" ht="15" customHeight="1" x14ac:dyDescent="0.2">
      <c r="B26" s="1"/>
      <c r="C26" s="54"/>
      <c r="D26" s="54"/>
      <c r="E26" s="54"/>
      <c r="F26" s="54"/>
      <c r="G26" s="54"/>
      <c r="H26" s="54"/>
      <c r="I26" s="54"/>
      <c r="J26" s="4"/>
      <c r="K26" s="4"/>
      <c r="L26" s="4"/>
    </row>
    <row r="27" spans="2:12" ht="15" customHeight="1" x14ac:dyDescent="0.2">
      <c r="B27" s="1"/>
      <c r="C27" s="54"/>
      <c r="D27" s="54"/>
      <c r="E27" s="54"/>
      <c r="F27" s="54"/>
      <c r="G27" s="54"/>
      <c r="H27" s="54"/>
      <c r="I27" s="54"/>
      <c r="J27" s="4"/>
      <c r="K27" s="4"/>
      <c r="L27" s="4"/>
    </row>
    <row r="28" spans="2:12" ht="15" customHeight="1" x14ac:dyDescent="0.2">
      <c r="B28" s="1"/>
      <c r="C28" s="54"/>
      <c r="D28" s="54"/>
      <c r="E28" s="54"/>
      <c r="F28" s="54"/>
      <c r="G28" s="54"/>
      <c r="H28" s="54"/>
      <c r="I28" s="54"/>
      <c r="J28" s="4"/>
      <c r="K28" s="4"/>
      <c r="L28" s="4"/>
    </row>
    <row r="29" spans="2:12" ht="15" customHeight="1" x14ac:dyDescent="0.2">
      <c r="B29" s="9"/>
      <c r="C29"/>
      <c r="D29"/>
      <c r="E29"/>
      <c r="F29"/>
      <c r="G29"/>
      <c r="H29"/>
      <c r="I29"/>
      <c r="L29" s="22" t="s">
        <v>40</v>
      </c>
    </row>
    <row r="30" spans="2:12" ht="15" customHeight="1" x14ac:dyDescent="0.2">
      <c r="B30" s="67"/>
      <c r="C30" s="67">
        <v>1</v>
      </c>
      <c r="D30" s="67">
        <v>2</v>
      </c>
      <c r="E30" s="67">
        <v>3</v>
      </c>
      <c r="F30" s="67">
        <v>4</v>
      </c>
      <c r="G30" s="67">
        <v>5</v>
      </c>
      <c r="H30" s="67">
        <v>6</v>
      </c>
      <c r="I30" s="67">
        <v>7</v>
      </c>
      <c r="J30" s="67">
        <v>8</v>
      </c>
      <c r="K30" s="67">
        <v>9</v>
      </c>
      <c r="L30" s="67">
        <v>10</v>
      </c>
    </row>
    <row r="31" spans="2:12" ht="15" customHeight="1" x14ac:dyDescent="0.2">
      <c r="B31" s="67" t="s">
        <v>2</v>
      </c>
      <c r="C31" s="17" t="s">
        <v>48</v>
      </c>
      <c r="D31" s="17" t="s">
        <v>51</v>
      </c>
      <c r="E31" s="17" t="s">
        <v>52</v>
      </c>
      <c r="F31" s="17" t="s">
        <v>53</v>
      </c>
      <c r="G31" s="17" t="s">
        <v>54</v>
      </c>
      <c r="H31" s="17" t="s">
        <v>54</v>
      </c>
      <c r="I31" s="17" t="s">
        <v>54</v>
      </c>
      <c r="J31" s="17" t="s">
        <v>54</v>
      </c>
      <c r="K31" s="17" t="s">
        <v>54</v>
      </c>
      <c r="L31" s="17" t="s">
        <v>54</v>
      </c>
    </row>
    <row r="32" spans="2:12" ht="15" customHeight="1" x14ac:dyDescent="0.2">
      <c r="B32" s="67" t="s">
        <v>3</v>
      </c>
      <c r="C32" s="67" t="s">
        <v>9</v>
      </c>
      <c r="D32" s="67" t="s">
        <v>10</v>
      </c>
      <c r="E32" s="67" t="s">
        <v>9</v>
      </c>
      <c r="F32" s="67" t="s">
        <v>10</v>
      </c>
      <c r="G32" s="67" t="s">
        <v>55</v>
      </c>
      <c r="H32" s="67" t="s">
        <v>55</v>
      </c>
      <c r="I32" s="67" t="s">
        <v>55</v>
      </c>
      <c r="J32" s="67" t="s">
        <v>55</v>
      </c>
      <c r="K32" s="67" t="s">
        <v>55</v>
      </c>
      <c r="L32" s="67" t="s">
        <v>55</v>
      </c>
    </row>
    <row r="33" spans="2:12" ht="21.9" customHeight="1" x14ac:dyDescent="0.2">
      <c r="B33" s="67" t="s">
        <v>4</v>
      </c>
      <c r="C33" s="67">
        <v>2500</v>
      </c>
      <c r="D33" s="67">
        <v>1453</v>
      </c>
      <c r="E33" s="67">
        <v>2402</v>
      </c>
      <c r="F33" s="67">
        <v>1351</v>
      </c>
      <c r="G33" s="67">
        <v>205</v>
      </c>
      <c r="H33" s="67">
        <v>205</v>
      </c>
      <c r="I33" s="67">
        <v>205</v>
      </c>
      <c r="J33" s="67">
        <v>205</v>
      </c>
      <c r="K33" s="67">
        <v>205</v>
      </c>
      <c r="L33" s="67">
        <v>205</v>
      </c>
    </row>
    <row r="34" spans="2:12" ht="21.9" customHeight="1" x14ac:dyDescent="0.2">
      <c r="B34" s="67" t="s">
        <v>20</v>
      </c>
      <c r="C34" s="67">
        <v>2501</v>
      </c>
      <c r="D34" s="67">
        <v>1452</v>
      </c>
      <c r="E34" s="67">
        <v>2403</v>
      </c>
      <c r="F34" s="67">
        <v>1350</v>
      </c>
      <c r="G34" s="67">
        <v>206</v>
      </c>
      <c r="H34" s="67">
        <v>204</v>
      </c>
      <c r="I34" s="67">
        <v>205</v>
      </c>
      <c r="J34" s="67">
        <v>205</v>
      </c>
      <c r="K34" s="67">
        <v>204</v>
      </c>
      <c r="L34" s="67">
        <v>205</v>
      </c>
    </row>
    <row r="35" spans="2:12" ht="21.9" customHeight="1" x14ac:dyDescent="0.2">
      <c r="B35" s="67" t="s">
        <v>21</v>
      </c>
      <c r="C35" s="67" t="s">
        <v>23</v>
      </c>
      <c r="D35" s="67" t="s">
        <v>23</v>
      </c>
      <c r="E35" s="67" t="s">
        <v>23</v>
      </c>
      <c r="F35" s="67" t="s">
        <v>23</v>
      </c>
      <c r="G35" s="67" t="s">
        <v>23</v>
      </c>
      <c r="H35" s="67" t="s">
        <v>23</v>
      </c>
      <c r="I35" s="67" t="s">
        <v>23</v>
      </c>
      <c r="J35" s="67" t="s">
        <v>23</v>
      </c>
      <c r="K35" s="67" t="s">
        <v>23</v>
      </c>
      <c r="L35" s="67" t="s">
        <v>23</v>
      </c>
    </row>
    <row r="36" spans="2:12" ht="21.9" customHeight="1" x14ac:dyDescent="0.2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2:12" ht="15" customHeight="1" x14ac:dyDescent="0.2">
      <c r="B37" s="67"/>
      <c r="C37" s="67">
        <v>11</v>
      </c>
      <c r="D37" s="67">
        <v>12</v>
      </c>
      <c r="E37" s="67">
        <v>13</v>
      </c>
      <c r="F37" s="67">
        <v>14</v>
      </c>
      <c r="G37" s="67">
        <v>15</v>
      </c>
      <c r="H37" s="67">
        <v>16</v>
      </c>
      <c r="I37" s="67">
        <v>17</v>
      </c>
      <c r="J37" s="67">
        <v>18</v>
      </c>
      <c r="K37" s="67">
        <v>19</v>
      </c>
      <c r="L37" s="67">
        <v>20</v>
      </c>
    </row>
    <row r="38" spans="2:12" ht="15" customHeight="1" x14ac:dyDescent="0.2">
      <c r="B38" s="67" t="s">
        <v>2</v>
      </c>
      <c r="C38" s="17" t="s">
        <v>54</v>
      </c>
      <c r="D38" s="17" t="s">
        <v>54</v>
      </c>
      <c r="E38" s="17" t="s">
        <v>54</v>
      </c>
      <c r="F38" s="67">
        <v>205</v>
      </c>
      <c r="G38" s="67">
        <v>205</v>
      </c>
      <c r="H38" s="67">
        <v>205</v>
      </c>
      <c r="I38" s="67">
        <v>235</v>
      </c>
      <c r="J38" s="67">
        <v>235</v>
      </c>
      <c r="K38" s="67">
        <v>235</v>
      </c>
      <c r="L38" s="67">
        <v>235</v>
      </c>
    </row>
    <row r="39" spans="2:12" ht="15" customHeight="1" x14ac:dyDescent="0.2">
      <c r="B39" s="67" t="s">
        <v>3</v>
      </c>
      <c r="C39" s="67" t="s">
        <v>55</v>
      </c>
      <c r="D39" s="67" t="s">
        <v>55</v>
      </c>
      <c r="E39" s="67" t="s">
        <v>55</v>
      </c>
      <c r="F39" s="67" t="s">
        <v>55</v>
      </c>
      <c r="G39" s="67" t="s">
        <v>55</v>
      </c>
      <c r="H39" s="67" t="s">
        <v>55</v>
      </c>
      <c r="I39" s="67" t="s">
        <v>55</v>
      </c>
      <c r="J39" s="67" t="s">
        <v>55</v>
      </c>
      <c r="K39" s="67" t="s">
        <v>55</v>
      </c>
      <c r="L39" s="67" t="s">
        <v>55</v>
      </c>
    </row>
    <row r="40" spans="2:12" ht="21.9" customHeight="1" x14ac:dyDescent="0.2">
      <c r="B40" s="67" t="s">
        <v>4</v>
      </c>
      <c r="C40" s="67">
        <v>205</v>
      </c>
      <c r="D40" s="67">
        <v>205</v>
      </c>
      <c r="E40" s="67">
        <v>205</v>
      </c>
      <c r="F40" s="67">
        <v>205</v>
      </c>
      <c r="G40" s="67">
        <v>205</v>
      </c>
      <c r="H40" s="67">
        <v>205</v>
      </c>
      <c r="I40" s="67">
        <v>237</v>
      </c>
      <c r="J40" s="67">
        <v>235</v>
      </c>
      <c r="K40" s="67">
        <v>235</v>
      </c>
      <c r="L40" s="67">
        <v>253</v>
      </c>
    </row>
    <row r="41" spans="2:12" ht="21.9" customHeight="1" x14ac:dyDescent="0.2">
      <c r="B41" s="67" t="s">
        <v>20</v>
      </c>
      <c r="C41" s="67">
        <v>205</v>
      </c>
      <c r="D41" s="67">
        <v>205</v>
      </c>
      <c r="E41" s="67">
        <v>205</v>
      </c>
      <c r="F41" s="67">
        <v>205</v>
      </c>
      <c r="G41" s="67">
        <v>205</v>
      </c>
      <c r="H41" s="67">
        <v>205</v>
      </c>
      <c r="I41" s="67">
        <v>236</v>
      </c>
      <c r="J41" s="67">
        <v>235</v>
      </c>
      <c r="K41" s="67">
        <v>235</v>
      </c>
      <c r="L41" s="67">
        <v>235</v>
      </c>
    </row>
    <row r="42" spans="2:12" ht="21.9" customHeight="1" x14ac:dyDescent="0.2">
      <c r="B42" s="67" t="s">
        <v>21</v>
      </c>
      <c r="C42" s="67" t="s">
        <v>23</v>
      </c>
      <c r="D42" s="67" t="s">
        <v>23</v>
      </c>
      <c r="E42" s="67" t="s">
        <v>23</v>
      </c>
      <c r="F42" s="67" t="s">
        <v>23</v>
      </c>
      <c r="G42" s="67" t="s">
        <v>23</v>
      </c>
      <c r="H42" s="67" t="s">
        <v>23</v>
      </c>
      <c r="I42" s="67" t="s">
        <v>23</v>
      </c>
      <c r="J42" s="67" t="s">
        <v>23</v>
      </c>
      <c r="K42" s="67" t="s">
        <v>23</v>
      </c>
      <c r="L42" s="67" t="s">
        <v>23</v>
      </c>
    </row>
    <row r="43" spans="2:12" ht="15" customHeight="1" x14ac:dyDescent="0.2">
      <c r="B43" s="16"/>
      <c r="C43" s="16"/>
      <c r="D43" s="16"/>
      <c r="E43" s="16"/>
      <c r="F43" s="16"/>
      <c r="G43" s="16"/>
      <c r="H43" s="16"/>
      <c r="I43" s="16"/>
      <c r="J43" s="52"/>
      <c r="K43" s="52"/>
      <c r="L43" s="52"/>
    </row>
    <row r="44" spans="2:12" ht="15" customHeight="1" x14ac:dyDescent="0.2">
      <c r="B44" s="67"/>
      <c r="C44" s="67">
        <v>21</v>
      </c>
      <c r="D44" s="67">
        <v>22</v>
      </c>
      <c r="E44" s="67">
        <v>23</v>
      </c>
      <c r="F44" s="14"/>
      <c r="G44" s="14"/>
      <c r="H44" s="14"/>
      <c r="I44" s="14"/>
      <c r="J44" s="14"/>
      <c r="K44" s="14"/>
      <c r="L44" s="14"/>
    </row>
    <row r="45" spans="2:12" ht="15" customHeight="1" x14ac:dyDescent="0.2">
      <c r="B45" s="67" t="s">
        <v>2</v>
      </c>
      <c r="C45" s="67">
        <v>235</v>
      </c>
      <c r="D45" s="67">
        <v>235</v>
      </c>
      <c r="E45" s="67" t="s">
        <v>56</v>
      </c>
      <c r="F45" s="14"/>
      <c r="G45" s="14"/>
      <c r="H45" s="14"/>
      <c r="I45" s="14"/>
      <c r="J45" s="14"/>
      <c r="K45" s="14"/>
      <c r="L45" s="14"/>
    </row>
    <row r="46" spans="2:12" ht="15" customHeight="1" x14ac:dyDescent="0.2">
      <c r="B46" s="67" t="s">
        <v>3</v>
      </c>
      <c r="C46" s="67" t="s">
        <v>55</v>
      </c>
      <c r="D46" s="67" t="s">
        <v>55</v>
      </c>
      <c r="E46" s="67" t="s">
        <v>8</v>
      </c>
      <c r="F46" s="14"/>
      <c r="G46" s="14"/>
      <c r="H46" s="14"/>
      <c r="I46" s="14"/>
      <c r="J46" s="14"/>
      <c r="K46" s="14"/>
      <c r="L46" s="14"/>
    </row>
    <row r="47" spans="2:12" ht="21.9" customHeight="1" x14ac:dyDescent="0.2">
      <c r="B47" s="67" t="s">
        <v>4</v>
      </c>
      <c r="C47" s="67">
        <v>253</v>
      </c>
      <c r="D47" s="67">
        <v>236</v>
      </c>
      <c r="E47" s="67" t="s">
        <v>56</v>
      </c>
      <c r="F47" s="14"/>
      <c r="G47" s="14"/>
      <c r="H47" s="14"/>
      <c r="I47" s="14"/>
      <c r="J47" s="14"/>
      <c r="K47" s="14"/>
      <c r="L47" s="14"/>
    </row>
    <row r="48" spans="2:12" ht="21.9" customHeight="1" x14ac:dyDescent="0.2">
      <c r="B48" s="67" t="s">
        <v>20</v>
      </c>
      <c r="C48" s="67">
        <v>253</v>
      </c>
      <c r="D48" s="67">
        <v>235</v>
      </c>
      <c r="E48" s="67" t="s">
        <v>56</v>
      </c>
      <c r="F48" s="14"/>
      <c r="G48" s="14"/>
      <c r="H48" s="14"/>
      <c r="I48" s="14"/>
      <c r="J48" s="14"/>
      <c r="K48" s="14"/>
      <c r="L48" s="14"/>
    </row>
    <row r="49" spans="1:12" ht="21.9" customHeight="1" x14ac:dyDescent="0.2">
      <c r="B49" s="67" t="s">
        <v>21</v>
      </c>
      <c r="C49" s="67" t="s">
        <v>23</v>
      </c>
      <c r="D49" s="67" t="s">
        <v>23</v>
      </c>
      <c r="E49" s="67" t="s">
        <v>23</v>
      </c>
      <c r="F49" s="14"/>
      <c r="G49" s="14"/>
      <c r="H49" s="14"/>
      <c r="I49" s="14"/>
      <c r="J49" s="14"/>
      <c r="K49" s="14"/>
      <c r="L49" s="14"/>
    </row>
    <row r="50" spans="1:12" ht="15" customHeight="1" x14ac:dyDescent="0.2">
      <c r="B50" s="8" t="s">
        <v>41</v>
      </c>
      <c r="C50" s="54"/>
      <c r="D50" s="54"/>
      <c r="E50" s="54"/>
      <c r="F50" s="54"/>
      <c r="G50" s="54"/>
      <c r="H50" s="54"/>
      <c r="I50" s="54"/>
      <c r="J50" s="4"/>
      <c r="K50" s="4"/>
      <c r="L50" s="4"/>
    </row>
    <row r="51" spans="1:12" ht="15" customHeight="1" x14ac:dyDescent="0.2">
      <c r="B51" s="1" t="s">
        <v>57</v>
      </c>
      <c r="C51" s="54"/>
      <c r="D51" s="54"/>
      <c r="E51" s="54"/>
      <c r="F51" s="54"/>
      <c r="G51" s="54"/>
      <c r="H51" s="54"/>
      <c r="I51" s="54"/>
      <c r="J51" s="4"/>
      <c r="K51" s="4"/>
      <c r="L51" s="4"/>
    </row>
    <row r="52" spans="1:12" ht="15" customHeight="1" x14ac:dyDescent="0.2">
      <c r="B52" s="1"/>
      <c r="C52"/>
      <c r="D52"/>
      <c r="E52"/>
      <c r="F52"/>
      <c r="G52"/>
      <c r="H52"/>
      <c r="I52"/>
    </row>
    <row r="53" spans="1:12" ht="15" customHeight="1" x14ac:dyDescent="0.2">
      <c r="B53" s="4"/>
      <c r="D53" s="7"/>
      <c r="E53" s="7"/>
      <c r="F53" s="3"/>
      <c r="J53" s="6"/>
      <c r="K53" s="6"/>
      <c r="L53" s="6"/>
    </row>
    <row r="54" spans="1:12" ht="19.5" customHeight="1" x14ac:dyDescent="0.2">
      <c r="B54" s="134"/>
      <c r="C54" s="135"/>
      <c r="D54" s="133" t="s">
        <v>25</v>
      </c>
      <c r="E54" s="133"/>
      <c r="F54" s="132"/>
      <c r="G54" s="133" t="s">
        <v>26</v>
      </c>
      <c r="H54" s="133"/>
      <c r="I54" s="132"/>
      <c r="J54" s="126" t="s">
        <v>5</v>
      </c>
      <c r="K54" s="126"/>
      <c r="L54" s="127"/>
    </row>
    <row r="55" spans="1:12" ht="19.5" customHeight="1" x14ac:dyDescent="0.2">
      <c r="B55" s="131" t="s">
        <v>27</v>
      </c>
      <c r="C55" s="132"/>
      <c r="D55" s="128" t="s">
        <v>71</v>
      </c>
      <c r="E55" s="126"/>
      <c r="F55" s="127"/>
      <c r="G55" s="131" t="s">
        <v>80</v>
      </c>
      <c r="H55" s="133"/>
      <c r="I55" s="132"/>
      <c r="J55" s="129" t="s">
        <v>75</v>
      </c>
      <c r="K55" s="129"/>
      <c r="L55" s="130"/>
    </row>
    <row r="56" spans="1:12" ht="19.5" customHeight="1" x14ac:dyDescent="0.2">
      <c r="A56" s="5"/>
      <c r="B56" s="126" t="s">
        <v>24</v>
      </c>
      <c r="C56" s="127"/>
      <c r="D56" s="128" t="s">
        <v>78</v>
      </c>
      <c r="E56" s="126"/>
      <c r="F56" s="127"/>
      <c r="G56" s="131" t="s">
        <v>76</v>
      </c>
      <c r="H56" s="133"/>
      <c r="I56" s="132"/>
      <c r="J56" s="129" t="s">
        <v>75</v>
      </c>
      <c r="K56" s="129"/>
      <c r="L56" s="130"/>
    </row>
    <row r="57" spans="1:12" ht="19.5" customHeight="1" x14ac:dyDescent="0.2">
      <c r="A57" s="5"/>
      <c r="B57" s="126" t="s">
        <v>21</v>
      </c>
      <c r="C57" s="127"/>
      <c r="D57" s="128" t="s">
        <v>63</v>
      </c>
      <c r="E57" s="126"/>
      <c r="F57" s="127"/>
      <c r="G57" s="13"/>
      <c r="H57" s="45" t="s">
        <v>23</v>
      </c>
      <c r="I57" s="18"/>
      <c r="J57" s="129" t="s">
        <v>83</v>
      </c>
      <c r="K57" s="129"/>
      <c r="L57" s="130"/>
    </row>
    <row r="58" spans="1:12" ht="5.0999999999999996" customHeight="1" x14ac:dyDescent="0.2">
      <c r="D58" s="2"/>
    </row>
    <row r="59" spans="1:12" ht="15" customHeight="1" x14ac:dyDescent="0.2">
      <c r="D59" s="2"/>
    </row>
    <row r="60" spans="1:12" ht="15" customHeight="1" x14ac:dyDescent="0.2">
      <c r="D60" s="2"/>
    </row>
    <row r="61" spans="1:12" ht="15" customHeight="1" x14ac:dyDescent="0.2">
      <c r="D61" s="2"/>
    </row>
  </sheetData>
  <mergeCells count="17">
    <mergeCell ref="B1:L1"/>
    <mergeCell ref="B3:L3"/>
    <mergeCell ref="B54:C54"/>
    <mergeCell ref="D54:F54"/>
    <mergeCell ref="G54:I54"/>
    <mergeCell ref="J54:L54"/>
    <mergeCell ref="B57:C57"/>
    <mergeCell ref="D57:F57"/>
    <mergeCell ref="J57:L57"/>
    <mergeCell ref="B55:C55"/>
    <mergeCell ref="D55:F55"/>
    <mergeCell ref="G55:I55"/>
    <mergeCell ref="J55:L55"/>
    <mergeCell ref="B56:C56"/>
    <mergeCell ref="D56:F56"/>
    <mergeCell ref="G56:I56"/>
    <mergeCell ref="J56:L56"/>
  </mergeCells>
  <phoneticPr fontId="2"/>
  <pageMargins left="0.78740157480314965" right="0.39370078740157483" top="0.78740157480314965" bottom="0.78740157480314965" header="0.51181102362204722" footer="0.51181102362204722"/>
  <pageSetup paperSize="9" scale="81" firstPageNumber="2" orientation="portrait" useFirstPageNumber="1" r:id="rId1"/>
  <headerFooter alignWithMargins="0">
    <oddFooter>&amp;C3-&amp;P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AC60-B753-4383-86CE-B0FF9AF02FED}">
  <dimension ref="A1:O69"/>
  <sheetViews>
    <sheetView view="pageBreakPreview" topLeftCell="A32" zoomScaleNormal="100" zoomScaleSheetLayoutView="100" workbookViewId="0">
      <selection activeCell="F23" sqref="F23"/>
    </sheetView>
  </sheetViews>
  <sheetFormatPr defaultColWidth="9" defaultRowHeight="13.2" x14ac:dyDescent="0.2"/>
  <cols>
    <col min="1" max="1" width="1.6640625" style="7" customWidth="1"/>
    <col min="2" max="2" width="3.6640625" style="7" customWidth="1"/>
    <col min="3" max="4" width="5.6640625" style="7" customWidth="1"/>
    <col min="5" max="14" width="7.109375" style="7" customWidth="1"/>
    <col min="15" max="16" width="6.6640625" style="7" customWidth="1"/>
    <col min="17" max="21" width="4.109375" style="7" customWidth="1"/>
    <col min="22" max="16384" width="9" style="7"/>
  </cols>
  <sheetData>
    <row r="1" spans="1:15" ht="13.5" customHeight="1" x14ac:dyDescent="0.2">
      <c r="A1" s="117" t="s">
        <v>61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</row>
    <row r="2" spans="1:15" ht="13.5" customHeight="1" x14ac:dyDescent="0.2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</row>
    <row r="3" spans="1:15" ht="13.5" customHeight="1" x14ac:dyDescent="0.2">
      <c r="A3" s="11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5" ht="13.5" customHeight="1" x14ac:dyDescent="0.2">
      <c r="A4" s="117" t="s">
        <v>69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5" ht="15" customHeight="1" thickBot="1" x14ac:dyDescent="0.25">
      <c r="B5" s="11" t="s">
        <v>38</v>
      </c>
      <c r="C5" s="49"/>
      <c r="D5" s="72" t="s">
        <v>84</v>
      </c>
      <c r="E5" s="49"/>
      <c r="F5" s="49"/>
      <c r="G5" s="49"/>
      <c r="H5" s="49"/>
      <c r="I5" s="11"/>
      <c r="K5" s="11"/>
      <c r="M5" s="11"/>
      <c r="N5" s="21" t="s">
        <v>35</v>
      </c>
    </row>
    <row r="6" spans="1:15" ht="12.9" customHeight="1" thickBot="1" x14ac:dyDescent="0.25">
      <c r="B6" s="145"/>
      <c r="C6" s="146"/>
      <c r="D6" s="61"/>
      <c r="E6" s="60">
        <v>1</v>
      </c>
      <c r="F6" s="60">
        <v>2</v>
      </c>
      <c r="G6" s="60">
        <v>3</v>
      </c>
      <c r="H6" s="60">
        <v>4</v>
      </c>
      <c r="I6" s="60">
        <v>5</v>
      </c>
      <c r="J6" s="60">
        <v>6</v>
      </c>
      <c r="K6" s="60">
        <v>7</v>
      </c>
      <c r="L6" s="60">
        <v>8</v>
      </c>
      <c r="M6" s="60">
        <v>9</v>
      </c>
      <c r="N6" s="106">
        <v>10</v>
      </c>
      <c r="O6" s="11"/>
    </row>
    <row r="7" spans="1:15" ht="14.1" customHeight="1" x14ac:dyDescent="0.2">
      <c r="B7" s="147" t="s">
        <v>1</v>
      </c>
      <c r="C7" s="148"/>
      <c r="D7" s="32" t="s">
        <v>42</v>
      </c>
      <c r="E7" s="57">
        <v>226</v>
      </c>
      <c r="F7" s="57">
        <v>135</v>
      </c>
      <c r="G7" s="57">
        <v>113</v>
      </c>
      <c r="H7" s="57">
        <v>96</v>
      </c>
      <c r="I7" s="57">
        <v>137</v>
      </c>
      <c r="J7" s="57">
        <v>125</v>
      </c>
      <c r="K7" s="57">
        <v>132</v>
      </c>
      <c r="L7" s="57">
        <v>125</v>
      </c>
      <c r="M7" s="57">
        <v>122</v>
      </c>
      <c r="N7" s="105">
        <v>145</v>
      </c>
      <c r="O7" s="11"/>
    </row>
    <row r="8" spans="1:15" ht="14.1" customHeight="1" x14ac:dyDescent="0.2">
      <c r="B8" s="149"/>
      <c r="C8" s="150"/>
      <c r="D8" s="99" t="s">
        <v>43</v>
      </c>
      <c r="E8" s="97">
        <v>205</v>
      </c>
      <c r="F8" s="97">
        <v>148</v>
      </c>
      <c r="G8" s="97">
        <v>102</v>
      </c>
      <c r="H8" s="97">
        <v>142</v>
      </c>
      <c r="I8" s="97">
        <v>95</v>
      </c>
      <c r="J8" s="97">
        <v>155</v>
      </c>
      <c r="K8" s="97">
        <v>112</v>
      </c>
      <c r="L8" s="97">
        <v>134</v>
      </c>
      <c r="M8" s="97">
        <v>154</v>
      </c>
      <c r="N8" s="101">
        <v>158</v>
      </c>
      <c r="O8" s="11"/>
    </row>
    <row r="9" spans="1:15" ht="14.1" customHeight="1" x14ac:dyDescent="0.2">
      <c r="B9" s="149"/>
      <c r="C9" s="150"/>
      <c r="D9" s="99" t="s">
        <v>6</v>
      </c>
      <c r="E9" s="97">
        <v>138</v>
      </c>
      <c r="F9" s="97">
        <v>137</v>
      </c>
      <c r="G9" s="97">
        <v>157</v>
      </c>
      <c r="H9" s="97">
        <v>123</v>
      </c>
      <c r="I9" s="97">
        <v>172</v>
      </c>
      <c r="J9" s="97">
        <v>172</v>
      </c>
      <c r="K9" s="97">
        <v>170</v>
      </c>
      <c r="L9" s="97">
        <v>151</v>
      </c>
      <c r="M9" s="97">
        <v>154</v>
      </c>
      <c r="N9" s="101">
        <v>143</v>
      </c>
      <c r="O9" s="11"/>
    </row>
    <row r="10" spans="1:15" ht="14.1" customHeight="1" thickBot="1" x14ac:dyDescent="0.25">
      <c r="B10" s="149"/>
      <c r="C10" s="150"/>
      <c r="D10" s="63" t="s">
        <v>7</v>
      </c>
      <c r="E10" s="55">
        <v>142</v>
      </c>
      <c r="F10" s="55">
        <v>128</v>
      </c>
      <c r="G10" s="55">
        <v>180</v>
      </c>
      <c r="H10" s="55">
        <v>137</v>
      </c>
      <c r="I10" s="55">
        <v>165</v>
      </c>
      <c r="J10" s="55">
        <v>193</v>
      </c>
      <c r="K10" s="55">
        <v>172</v>
      </c>
      <c r="L10" s="55">
        <v>147</v>
      </c>
      <c r="M10" s="55">
        <v>159</v>
      </c>
      <c r="N10" s="23">
        <v>146</v>
      </c>
      <c r="O10" s="11"/>
    </row>
    <row r="11" spans="1:15" ht="14.1" customHeight="1" x14ac:dyDescent="0.2">
      <c r="B11" s="149"/>
      <c r="C11" s="150"/>
      <c r="D11" s="104" t="s">
        <v>86</v>
      </c>
      <c r="E11" s="57">
        <f>MIN(E7:E10)</f>
        <v>138</v>
      </c>
      <c r="F11" s="57">
        <f t="shared" ref="F11:N11" si="0">MIN(F7:F10)</f>
        <v>128</v>
      </c>
      <c r="G11" s="57">
        <f t="shared" si="0"/>
        <v>102</v>
      </c>
      <c r="H11" s="57">
        <f t="shared" si="0"/>
        <v>96</v>
      </c>
      <c r="I11" s="57">
        <f t="shared" si="0"/>
        <v>95</v>
      </c>
      <c r="J11" s="57">
        <f t="shared" si="0"/>
        <v>125</v>
      </c>
      <c r="K11" s="57">
        <v>122</v>
      </c>
      <c r="L11" s="57">
        <f t="shared" si="0"/>
        <v>125</v>
      </c>
      <c r="M11" s="57">
        <f t="shared" si="0"/>
        <v>122</v>
      </c>
      <c r="N11" s="105">
        <f t="shared" si="0"/>
        <v>143</v>
      </c>
      <c r="O11" s="11"/>
    </row>
    <row r="12" spans="1:15" ht="14.1" customHeight="1" thickBot="1" x14ac:dyDescent="0.25">
      <c r="B12" s="151"/>
      <c r="C12" s="152"/>
      <c r="D12" s="33" t="s">
        <v>87</v>
      </c>
      <c r="E12" s="59">
        <f>ROUNDDOWN(AVERAGE(E7:E10),0)</f>
        <v>177</v>
      </c>
      <c r="F12" s="59">
        <f t="shared" ref="F12:N12" si="1">ROUNDDOWN(AVERAGE(F7:F10),0)</f>
        <v>137</v>
      </c>
      <c r="G12" s="59">
        <f t="shared" si="1"/>
        <v>138</v>
      </c>
      <c r="H12" s="59">
        <f t="shared" si="1"/>
        <v>124</v>
      </c>
      <c r="I12" s="59">
        <f t="shared" si="1"/>
        <v>142</v>
      </c>
      <c r="J12" s="59">
        <f t="shared" si="1"/>
        <v>161</v>
      </c>
      <c r="K12" s="59">
        <v>149</v>
      </c>
      <c r="L12" s="59">
        <f t="shared" si="1"/>
        <v>139</v>
      </c>
      <c r="M12" s="59">
        <f t="shared" si="1"/>
        <v>147</v>
      </c>
      <c r="N12" s="103">
        <f t="shared" si="1"/>
        <v>148</v>
      </c>
      <c r="O12" s="11"/>
    </row>
    <row r="13" spans="1:15" ht="14.1" customHeight="1" x14ac:dyDescent="0.2">
      <c r="B13" s="138" t="s">
        <v>20</v>
      </c>
      <c r="C13" s="139"/>
      <c r="D13" s="32" t="s">
        <v>42</v>
      </c>
      <c r="E13" s="57">
        <v>199</v>
      </c>
      <c r="F13" s="57">
        <v>118</v>
      </c>
      <c r="G13" s="57">
        <v>133</v>
      </c>
      <c r="H13" s="57">
        <v>171</v>
      </c>
      <c r="I13" s="57">
        <v>147</v>
      </c>
      <c r="J13" s="57">
        <v>154</v>
      </c>
      <c r="K13" s="57">
        <v>118</v>
      </c>
      <c r="L13" s="57">
        <v>158</v>
      </c>
      <c r="M13" s="57">
        <v>134</v>
      </c>
      <c r="N13" s="105">
        <v>143</v>
      </c>
      <c r="O13" s="11"/>
    </row>
    <row r="14" spans="1:15" ht="14.1" customHeight="1" x14ac:dyDescent="0.2">
      <c r="B14" s="140"/>
      <c r="C14" s="141"/>
      <c r="D14" s="99" t="s">
        <v>43</v>
      </c>
      <c r="E14" s="97">
        <v>131</v>
      </c>
      <c r="F14" s="97">
        <v>125</v>
      </c>
      <c r="G14" s="97">
        <v>158</v>
      </c>
      <c r="H14" s="97">
        <v>163</v>
      </c>
      <c r="I14" s="97">
        <v>152</v>
      </c>
      <c r="J14" s="97">
        <v>170</v>
      </c>
      <c r="K14" s="97">
        <v>124</v>
      </c>
      <c r="L14" s="97">
        <v>170</v>
      </c>
      <c r="M14" s="97">
        <v>117</v>
      </c>
      <c r="N14" s="101">
        <v>185</v>
      </c>
      <c r="O14" s="11"/>
    </row>
    <row r="15" spans="1:15" ht="14.1" customHeight="1" x14ac:dyDescent="0.2">
      <c r="B15" s="140"/>
      <c r="C15" s="141"/>
      <c r="D15" s="99" t="s">
        <v>6</v>
      </c>
      <c r="E15" s="97">
        <v>128</v>
      </c>
      <c r="F15" s="97">
        <v>142</v>
      </c>
      <c r="G15" s="97">
        <v>165</v>
      </c>
      <c r="H15" s="97">
        <v>194</v>
      </c>
      <c r="I15" s="97">
        <v>177</v>
      </c>
      <c r="J15" s="97">
        <v>196</v>
      </c>
      <c r="K15" s="97">
        <v>173</v>
      </c>
      <c r="L15" s="97">
        <v>181</v>
      </c>
      <c r="M15" s="97">
        <v>169</v>
      </c>
      <c r="N15" s="101">
        <v>165</v>
      </c>
      <c r="O15" s="11"/>
    </row>
    <row r="16" spans="1:15" ht="14.1" customHeight="1" thickBot="1" x14ac:dyDescent="0.25">
      <c r="B16" s="140"/>
      <c r="C16" s="141"/>
      <c r="D16" s="63" t="s">
        <v>7</v>
      </c>
      <c r="E16" s="55">
        <v>223</v>
      </c>
      <c r="F16" s="55">
        <v>191</v>
      </c>
      <c r="G16" s="55">
        <v>185</v>
      </c>
      <c r="H16" s="55">
        <v>156</v>
      </c>
      <c r="I16" s="55">
        <v>186</v>
      </c>
      <c r="J16" s="55">
        <v>143</v>
      </c>
      <c r="K16" s="55">
        <v>182</v>
      </c>
      <c r="L16" s="55">
        <v>137</v>
      </c>
      <c r="M16" s="55">
        <v>131</v>
      </c>
      <c r="N16" s="23">
        <v>175</v>
      </c>
      <c r="O16" s="11"/>
    </row>
    <row r="17" spans="2:15" ht="14.1" customHeight="1" x14ac:dyDescent="0.2">
      <c r="B17" s="140"/>
      <c r="C17" s="141"/>
      <c r="D17" s="104" t="s">
        <v>86</v>
      </c>
      <c r="E17" s="57">
        <f>MIN(E13:E16)</f>
        <v>128</v>
      </c>
      <c r="F17" s="57">
        <f t="shared" ref="F17:N17" si="2">MIN(F13:F16)</f>
        <v>118</v>
      </c>
      <c r="G17" s="57">
        <f t="shared" si="2"/>
        <v>133</v>
      </c>
      <c r="H17" s="57">
        <f t="shared" si="2"/>
        <v>156</v>
      </c>
      <c r="I17" s="57">
        <f t="shared" si="2"/>
        <v>147</v>
      </c>
      <c r="J17" s="57">
        <f t="shared" si="2"/>
        <v>143</v>
      </c>
      <c r="K17" s="57">
        <f t="shared" si="2"/>
        <v>118</v>
      </c>
      <c r="L17" s="57">
        <f t="shared" si="2"/>
        <v>137</v>
      </c>
      <c r="M17" s="57">
        <f t="shared" si="2"/>
        <v>117</v>
      </c>
      <c r="N17" s="105">
        <f t="shared" si="2"/>
        <v>143</v>
      </c>
      <c r="O17" s="11"/>
    </row>
    <row r="18" spans="2:15" ht="14.1" customHeight="1" thickBot="1" x14ac:dyDescent="0.25">
      <c r="B18" s="142"/>
      <c r="C18" s="143"/>
      <c r="D18" s="33" t="s">
        <v>87</v>
      </c>
      <c r="E18" s="59">
        <f>ROUNDDOWN(AVERAGE(E13:E16),0)</f>
        <v>170</v>
      </c>
      <c r="F18" s="59">
        <f t="shared" ref="F18:N18" si="3">ROUNDDOWN(AVERAGE(F13:F16),0)</f>
        <v>144</v>
      </c>
      <c r="G18" s="59">
        <f t="shared" si="3"/>
        <v>160</v>
      </c>
      <c r="H18" s="59">
        <f t="shared" si="3"/>
        <v>171</v>
      </c>
      <c r="I18" s="59">
        <f t="shared" si="3"/>
        <v>165</v>
      </c>
      <c r="J18" s="59">
        <f t="shared" si="3"/>
        <v>165</v>
      </c>
      <c r="K18" s="59">
        <f t="shared" si="3"/>
        <v>149</v>
      </c>
      <c r="L18" s="59">
        <f t="shared" si="3"/>
        <v>161</v>
      </c>
      <c r="M18" s="59">
        <f t="shared" si="3"/>
        <v>137</v>
      </c>
      <c r="N18" s="103">
        <f t="shared" si="3"/>
        <v>167</v>
      </c>
      <c r="O18" s="11"/>
    </row>
    <row r="19" spans="2:15" ht="14.1" customHeight="1" x14ac:dyDescent="0.2">
      <c r="B19" s="138" t="s">
        <v>21</v>
      </c>
      <c r="C19" s="139"/>
      <c r="D19" s="32" t="s">
        <v>42</v>
      </c>
      <c r="E19" s="57" t="s">
        <v>22</v>
      </c>
      <c r="F19" s="57" t="s">
        <v>22</v>
      </c>
      <c r="G19" s="57" t="s">
        <v>22</v>
      </c>
      <c r="H19" s="57" t="s">
        <v>22</v>
      </c>
      <c r="I19" s="57" t="s">
        <v>22</v>
      </c>
      <c r="J19" s="57" t="s">
        <v>22</v>
      </c>
      <c r="K19" s="57" t="s">
        <v>22</v>
      </c>
      <c r="L19" s="57" t="s">
        <v>22</v>
      </c>
      <c r="M19" s="57" t="s">
        <v>22</v>
      </c>
      <c r="N19" s="105" t="s">
        <v>22</v>
      </c>
      <c r="O19" s="11"/>
    </row>
    <row r="20" spans="2:15" ht="14.1" customHeight="1" x14ac:dyDescent="0.2">
      <c r="B20" s="140"/>
      <c r="C20" s="141"/>
      <c r="D20" s="99" t="s">
        <v>43</v>
      </c>
      <c r="E20" s="97" t="s">
        <v>22</v>
      </c>
      <c r="F20" s="97" t="s">
        <v>22</v>
      </c>
      <c r="G20" s="97" t="s">
        <v>22</v>
      </c>
      <c r="H20" s="97" t="s">
        <v>22</v>
      </c>
      <c r="I20" s="97" t="s">
        <v>22</v>
      </c>
      <c r="J20" s="97" t="s">
        <v>22</v>
      </c>
      <c r="K20" s="97" t="s">
        <v>22</v>
      </c>
      <c r="L20" s="97" t="s">
        <v>22</v>
      </c>
      <c r="M20" s="97" t="s">
        <v>22</v>
      </c>
      <c r="N20" s="101" t="s">
        <v>22</v>
      </c>
      <c r="O20" s="11"/>
    </row>
    <row r="21" spans="2:15" ht="14.1" customHeight="1" x14ac:dyDescent="0.2">
      <c r="B21" s="140"/>
      <c r="C21" s="141"/>
      <c r="D21" s="99" t="s">
        <v>6</v>
      </c>
      <c r="E21" s="97" t="s">
        <v>22</v>
      </c>
      <c r="F21" s="97" t="s">
        <v>22</v>
      </c>
      <c r="G21" s="97" t="s">
        <v>22</v>
      </c>
      <c r="H21" s="97" t="s">
        <v>22</v>
      </c>
      <c r="I21" s="97" t="s">
        <v>22</v>
      </c>
      <c r="J21" s="97" t="s">
        <v>22</v>
      </c>
      <c r="K21" s="97" t="s">
        <v>22</v>
      </c>
      <c r="L21" s="97" t="s">
        <v>22</v>
      </c>
      <c r="M21" s="97" t="s">
        <v>22</v>
      </c>
      <c r="N21" s="101" t="s">
        <v>22</v>
      </c>
      <c r="O21" s="11"/>
    </row>
    <row r="22" spans="2:15" ht="14.1" customHeight="1" thickBot="1" x14ac:dyDescent="0.25">
      <c r="B22" s="140"/>
      <c r="C22" s="141"/>
      <c r="D22" s="63" t="s">
        <v>7</v>
      </c>
      <c r="E22" s="55" t="s">
        <v>22</v>
      </c>
      <c r="F22" s="55" t="s">
        <v>22</v>
      </c>
      <c r="G22" s="55" t="s">
        <v>22</v>
      </c>
      <c r="H22" s="55" t="s">
        <v>22</v>
      </c>
      <c r="I22" s="55" t="s">
        <v>22</v>
      </c>
      <c r="J22" s="55" t="s">
        <v>22</v>
      </c>
      <c r="K22" s="55" t="s">
        <v>22</v>
      </c>
      <c r="L22" s="55" t="s">
        <v>22</v>
      </c>
      <c r="M22" s="55" t="s">
        <v>22</v>
      </c>
      <c r="N22" s="23" t="s">
        <v>22</v>
      </c>
      <c r="O22" s="11"/>
    </row>
    <row r="23" spans="2:15" ht="14.1" customHeight="1" x14ac:dyDescent="0.2">
      <c r="B23" s="140"/>
      <c r="C23" s="141"/>
      <c r="D23" s="104" t="s">
        <v>86</v>
      </c>
      <c r="E23" s="57" t="s">
        <v>22</v>
      </c>
      <c r="F23" s="57" t="s">
        <v>22</v>
      </c>
      <c r="G23" s="57" t="s">
        <v>22</v>
      </c>
      <c r="H23" s="57" t="s">
        <v>22</v>
      </c>
      <c r="I23" s="57" t="s">
        <v>22</v>
      </c>
      <c r="J23" s="57" t="s">
        <v>22</v>
      </c>
      <c r="K23" s="57" t="s">
        <v>22</v>
      </c>
      <c r="L23" s="57" t="s">
        <v>22</v>
      </c>
      <c r="M23" s="57" t="s">
        <v>22</v>
      </c>
      <c r="N23" s="105" t="s">
        <v>22</v>
      </c>
      <c r="O23" s="11"/>
    </row>
    <row r="24" spans="2:15" ht="14.1" customHeight="1" thickBot="1" x14ac:dyDescent="0.25">
      <c r="B24" s="142"/>
      <c r="C24" s="143"/>
      <c r="D24" s="33" t="s">
        <v>87</v>
      </c>
      <c r="E24" s="59" t="s">
        <v>22</v>
      </c>
      <c r="F24" s="59" t="s">
        <v>22</v>
      </c>
      <c r="G24" s="59" t="s">
        <v>22</v>
      </c>
      <c r="H24" s="59" t="s">
        <v>22</v>
      </c>
      <c r="I24" s="59" t="s">
        <v>22</v>
      </c>
      <c r="J24" s="59" t="s">
        <v>22</v>
      </c>
      <c r="K24" s="59" t="s">
        <v>22</v>
      </c>
      <c r="L24" s="59" t="s">
        <v>22</v>
      </c>
      <c r="M24" s="59" t="s">
        <v>22</v>
      </c>
      <c r="N24" s="103" t="s">
        <v>22</v>
      </c>
      <c r="O24" s="11"/>
    </row>
    <row r="25" spans="2:15" ht="14.1" customHeight="1" thickBot="1" x14ac:dyDescent="0.25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11"/>
    </row>
    <row r="26" spans="2:15" ht="14.1" customHeight="1" thickBot="1" x14ac:dyDescent="0.25">
      <c r="B26" s="136"/>
      <c r="C26" s="137"/>
      <c r="D26" s="81"/>
      <c r="E26" s="77">
        <v>11</v>
      </c>
      <c r="F26" s="77">
        <v>12</v>
      </c>
      <c r="G26" s="77">
        <v>13</v>
      </c>
      <c r="H26" s="77">
        <v>14</v>
      </c>
      <c r="I26" s="77">
        <v>15</v>
      </c>
      <c r="J26" s="77">
        <v>16</v>
      </c>
      <c r="K26" s="77">
        <v>17</v>
      </c>
      <c r="L26" s="77">
        <v>18</v>
      </c>
      <c r="M26" s="77">
        <v>19</v>
      </c>
      <c r="N26" s="100">
        <v>20</v>
      </c>
      <c r="O26" s="11"/>
    </row>
    <row r="27" spans="2:15" ht="14.1" customHeight="1" x14ac:dyDescent="0.2">
      <c r="B27" s="138" t="s">
        <v>1</v>
      </c>
      <c r="C27" s="139"/>
      <c r="D27" s="32" t="s">
        <v>42</v>
      </c>
      <c r="E27" s="57">
        <v>112</v>
      </c>
      <c r="F27" s="57">
        <v>175</v>
      </c>
      <c r="G27" s="57">
        <v>133</v>
      </c>
      <c r="H27" s="57">
        <v>125</v>
      </c>
      <c r="I27" s="57">
        <v>115</v>
      </c>
      <c r="J27" s="57">
        <v>156</v>
      </c>
      <c r="K27" s="57">
        <v>118</v>
      </c>
      <c r="L27" s="57">
        <v>97</v>
      </c>
      <c r="M27" s="57">
        <v>159</v>
      </c>
      <c r="N27" s="105">
        <v>122</v>
      </c>
      <c r="O27" s="11"/>
    </row>
    <row r="28" spans="2:15" ht="14.1" customHeight="1" x14ac:dyDescent="0.2">
      <c r="B28" s="140"/>
      <c r="C28" s="141"/>
      <c r="D28" s="99" t="s">
        <v>43</v>
      </c>
      <c r="E28" s="97">
        <v>92</v>
      </c>
      <c r="F28" s="97">
        <v>151</v>
      </c>
      <c r="G28" s="97">
        <v>196</v>
      </c>
      <c r="H28" s="97">
        <v>137</v>
      </c>
      <c r="I28" s="97">
        <v>156</v>
      </c>
      <c r="J28" s="97">
        <v>152</v>
      </c>
      <c r="K28" s="97">
        <v>226</v>
      </c>
      <c r="L28" s="97">
        <v>85</v>
      </c>
      <c r="M28" s="97">
        <v>135</v>
      </c>
      <c r="N28" s="101">
        <v>98</v>
      </c>
      <c r="O28" s="11"/>
    </row>
    <row r="29" spans="2:15" ht="14.1" customHeight="1" x14ac:dyDescent="0.2">
      <c r="B29" s="140"/>
      <c r="C29" s="141"/>
      <c r="D29" s="99" t="s">
        <v>6</v>
      </c>
      <c r="E29" s="97">
        <v>137</v>
      </c>
      <c r="F29" s="97">
        <v>137</v>
      </c>
      <c r="G29" s="97">
        <v>213</v>
      </c>
      <c r="H29" s="97">
        <v>125</v>
      </c>
      <c r="I29" s="97">
        <v>133</v>
      </c>
      <c r="J29" s="97">
        <v>139</v>
      </c>
      <c r="K29" s="97">
        <v>146</v>
      </c>
      <c r="L29" s="97">
        <v>175</v>
      </c>
      <c r="M29" s="97">
        <v>105</v>
      </c>
      <c r="N29" s="101">
        <v>102</v>
      </c>
      <c r="O29" s="11"/>
    </row>
    <row r="30" spans="2:15" ht="14.1" customHeight="1" thickBot="1" x14ac:dyDescent="0.25">
      <c r="B30" s="140"/>
      <c r="C30" s="141"/>
      <c r="D30" s="63" t="s">
        <v>7</v>
      </c>
      <c r="E30" s="55">
        <v>112</v>
      </c>
      <c r="F30" s="55">
        <v>104</v>
      </c>
      <c r="G30" s="55">
        <v>176</v>
      </c>
      <c r="H30" s="55">
        <v>141</v>
      </c>
      <c r="I30" s="55">
        <v>115</v>
      </c>
      <c r="J30" s="55">
        <v>218</v>
      </c>
      <c r="K30" s="55">
        <v>186</v>
      </c>
      <c r="L30" s="55">
        <v>121</v>
      </c>
      <c r="M30" s="55">
        <v>128</v>
      </c>
      <c r="N30" s="23">
        <v>93</v>
      </c>
      <c r="O30" s="11"/>
    </row>
    <row r="31" spans="2:15" ht="14.1" customHeight="1" x14ac:dyDescent="0.2">
      <c r="B31" s="140"/>
      <c r="C31" s="141"/>
      <c r="D31" s="104" t="s">
        <v>86</v>
      </c>
      <c r="E31" s="57">
        <f>MIN(E27:E30)</f>
        <v>92</v>
      </c>
      <c r="F31" s="57">
        <f t="shared" ref="F31:N31" si="4">MIN(F27:F30)</f>
        <v>104</v>
      </c>
      <c r="G31" s="57">
        <f t="shared" si="4"/>
        <v>133</v>
      </c>
      <c r="H31" s="57">
        <f t="shared" si="4"/>
        <v>125</v>
      </c>
      <c r="I31" s="57">
        <f t="shared" si="4"/>
        <v>115</v>
      </c>
      <c r="J31" s="57">
        <v>152</v>
      </c>
      <c r="K31" s="57">
        <f t="shared" si="4"/>
        <v>118</v>
      </c>
      <c r="L31" s="57">
        <f t="shared" si="4"/>
        <v>85</v>
      </c>
      <c r="M31" s="57">
        <f t="shared" si="4"/>
        <v>105</v>
      </c>
      <c r="N31" s="105">
        <f t="shared" si="4"/>
        <v>93</v>
      </c>
      <c r="O31" s="11"/>
    </row>
    <row r="32" spans="2:15" ht="14.1" customHeight="1" thickBot="1" x14ac:dyDescent="0.25">
      <c r="B32" s="142"/>
      <c r="C32" s="143"/>
      <c r="D32" s="102" t="s">
        <v>87</v>
      </c>
      <c r="E32" s="59">
        <f>ROUNDDOWN(AVERAGE(E27:E30),0)</f>
        <v>113</v>
      </c>
      <c r="F32" s="59">
        <f t="shared" ref="F32:N32" si="5">ROUNDDOWN(AVERAGE(F27:F30),0)</f>
        <v>141</v>
      </c>
      <c r="G32" s="59">
        <f t="shared" si="5"/>
        <v>179</v>
      </c>
      <c r="H32" s="59">
        <f t="shared" si="5"/>
        <v>132</v>
      </c>
      <c r="I32" s="59">
        <f t="shared" si="5"/>
        <v>129</v>
      </c>
      <c r="J32" s="59">
        <f t="shared" si="5"/>
        <v>166</v>
      </c>
      <c r="K32" s="59">
        <f t="shared" si="5"/>
        <v>169</v>
      </c>
      <c r="L32" s="59">
        <f t="shared" si="5"/>
        <v>119</v>
      </c>
      <c r="M32" s="59">
        <f t="shared" si="5"/>
        <v>131</v>
      </c>
      <c r="N32" s="103">
        <f t="shared" si="5"/>
        <v>103</v>
      </c>
      <c r="O32" s="11"/>
    </row>
    <row r="33" spans="2:15" ht="14.1" customHeight="1" x14ac:dyDescent="0.2">
      <c r="B33" s="138" t="s">
        <v>20</v>
      </c>
      <c r="C33" s="139"/>
      <c r="D33" s="98" t="s">
        <v>42</v>
      </c>
      <c r="E33" s="64">
        <v>136</v>
      </c>
      <c r="F33" s="64">
        <v>171</v>
      </c>
      <c r="G33" s="64">
        <v>180</v>
      </c>
      <c r="H33" s="64">
        <v>119</v>
      </c>
      <c r="I33" s="64">
        <v>221</v>
      </c>
      <c r="J33" s="64">
        <v>133</v>
      </c>
      <c r="K33" s="64">
        <v>176</v>
      </c>
      <c r="L33" s="64">
        <v>119</v>
      </c>
      <c r="M33" s="64">
        <v>138</v>
      </c>
      <c r="N33" s="75">
        <v>142</v>
      </c>
      <c r="O33" s="11"/>
    </row>
    <row r="34" spans="2:15" ht="14.1" customHeight="1" x14ac:dyDescent="0.2">
      <c r="B34" s="140"/>
      <c r="C34" s="141"/>
      <c r="D34" s="99" t="s">
        <v>43</v>
      </c>
      <c r="E34" s="97">
        <v>167</v>
      </c>
      <c r="F34" s="97">
        <v>182</v>
      </c>
      <c r="G34" s="97">
        <v>299</v>
      </c>
      <c r="H34" s="97">
        <v>168</v>
      </c>
      <c r="I34" s="97">
        <v>280</v>
      </c>
      <c r="J34" s="97">
        <v>186</v>
      </c>
      <c r="K34" s="97">
        <v>169</v>
      </c>
      <c r="L34" s="97">
        <v>120</v>
      </c>
      <c r="M34" s="97">
        <v>133</v>
      </c>
      <c r="N34" s="101">
        <v>144</v>
      </c>
      <c r="O34" s="11"/>
    </row>
    <row r="35" spans="2:15" ht="14.1" customHeight="1" x14ac:dyDescent="0.2">
      <c r="B35" s="140"/>
      <c r="C35" s="141"/>
      <c r="D35" s="99" t="s">
        <v>6</v>
      </c>
      <c r="E35" s="97">
        <v>183</v>
      </c>
      <c r="F35" s="97">
        <v>198</v>
      </c>
      <c r="G35" s="97">
        <v>182</v>
      </c>
      <c r="H35" s="97">
        <v>130</v>
      </c>
      <c r="I35" s="97">
        <v>307</v>
      </c>
      <c r="J35" s="97">
        <v>216</v>
      </c>
      <c r="K35" s="97">
        <v>152</v>
      </c>
      <c r="L35" s="97">
        <v>139</v>
      </c>
      <c r="M35" s="97">
        <v>132</v>
      </c>
      <c r="N35" s="101">
        <v>175</v>
      </c>
      <c r="O35" s="11"/>
    </row>
    <row r="36" spans="2:15" ht="14.1" customHeight="1" thickBot="1" x14ac:dyDescent="0.25">
      <c r="B36" s="140"/>
      <c r="C36" s="141"/>
      <c r="D36" s="63" t="s">
        <v>7</v>
      </c>
      <c r="E36" s="55">
        <v>135</v>
      </c>
      <c r="F36" s="55">
        <v>210</v>
      </c>
      <c r="G36" s="55">
        <v>189</v>
      </c>
      <c r="H36" s="55">
        <v>129</v>
      </c>
      <c r="I36" s="55">
        <v>232</v>
      </c>
      <c r="J36" s="55">
        <v>152</v>
      </c>
      <c r="K36" s="55">
        <v>187</v>
      </c>
      <c r="L36" s="55">
        <v>154</v>
      </c>
      <c r="M36" s="55">
        <v>172</v>
      </c>
      <c r="N36" s="23">
        <v>131</v>
      </c>
      <c r="O36" s="11"/>
    </row>
    <row r="37" spans="2:15" ht="14.1" customHeight="1" x14ac:dyDescent="0.2">
      <c r="B37" s="140"/>
      <c r="C37" s="141"/>
      <c r="D37" s="104" t="s">
        <v>86</v>
      </c>
      <c r="E37" s="57">
        <f>MIN(E33:E36)</f>
        <v>135</v>
      </c>
      <c r="F37" s="57">
        <f t="shared" ref="F37:N37" si="6">MIN(F33:F36)</f>
        <v>171</v>
      </c>
      <c r="G37" s="57">
        <f t="shared" si="6"/>
        <v>180</v>
      </c>
      <c r="H37" s="57">
        <f t="shared" si="6"/>
        <v>119</v>
      </c>
      <c r="I37" s="57">
        <f t="shared" si="6"/>
        <v>221</v>
      </c>
      <c r="J37" s="57">
        <f t="shared" si="6"/>
        <v>133</v>
      </c>
      <c r="K37" s="57">
        <f t="shared" si="6"/>
        <v>152</v>
      </c>
      <c r="L37" s="57">
        <f t="shared" si="6"/>
        <v>119</v>
      </c>
      <c r="M37" s="57">
        <f t="shared" si="6"/>
        <v>132</v>
      </c>
      <c r="N37" s="105">
        <f t="shared" si="6"/>
        <v>131</v>
      </c>
      <c r="O37" s="11"/>
    </row>
    <row r="38" spans="2:15" ht="14.1" customHeight="1" thickBot="1" x14ac:dyDescent="0.25">
      <c r="B38" s="142"/>
      <c r="C38" s="143"/>
      <c r="D38" s="102" t="s">
        <v>87</v>
      </c>
      <c r="E38" s="59">
        <f>ROUNDDOWN(AVERAGE(E33:E36),0)</f>
        <v>155</v>
      </c>
      <c r="F38" s="59">
        <f t="shared" ref="F38:N38" si="7">ROUNDDOWN(AVERAGE(F33:F36),0)</f>
        <v>190</v>
      </c>
      <c r="G38" s="59">
        <f t="shared" si="7"/>
        <v>212</v>
      </c>
      <c r="H38" s="59">
        <f t="shared" si="7"/>
        <v>136</v>
      </c>
      <c r="I38" s="59">
        <f t="shared" si="7"/>
        <v>260</v>
      </c>
      <c r="J38" s="59">
        <f t="shared" si="7"/>
        <v>171</v>
      </c>
      <c r="K38" s="59">
        <f t="shared" si="7"/>
        <v>171</v>
      </c>
      <c r="L38" s="59">
        <f t="shared" si="7"/>
        <v>133</v>
      </c>
      <c r="M38" s="59">
        <f t="shared" si="7"/>
        <v>143</v>
      </c>
      <c r="N38" s="103">
        <f t="shared" si="7"/>
        <v>148</v>
      </c>
      <c r="O38" s="11"/>
    </row>
    <row r="39" spans="2:15" ht="14.1" customHeight="1" x14ac:dyDescent="0.2">
      <c r="B39" s="138" t="s">
        <v>21</v>
      </c>
      <c r="C39" s="139"/>
      <c r="D39" s="98" t="s">
        <v>42</v>
      </c>
      <c r="E39" s="64" t="s">
        <v>22</v>
      </c>
      <c r="F39" s="64" t="s">
        <v>22</v>
      </c>
      <c r="G39" s="64" t="s">
        <v>22</v>
      </c>
      <c r="H39" s="64" t="s">
        <v>22</v>
      </c>
      <c r="I39" s="64" t="s">
        <v>22</v>
      </c>
      <c r="J39" s="64" t="s">
        <v>22</v>
      </c>
      <c r="K39" s="82" t="s">
        <v>22</v>
      </c>
      <c r="L39" s="64" t="s">
        <v>22</v>
      </c>
      <c r="M39" s="64" t="s">
        <v>22</v>
      </c>
      <c r="N39" s="75" t="s">
        <v>22</v>
      </c>
      <c r="O39" s="11"/>
    </row>
    <row r="40" spans="2:15" ht="14.1" customHeight="1" x14ac:dyDescent="0.2">
      <c r="B40" s="140"/>
      <c r="C40" s="141"/>
      <c r="D40" s="99" t="s">
        <v>43</v>
      </c>
      <c r="E40" s="97" t="s">
        <v>22</v>
      </c>
      <c r="F40" s="97" t="s">
        <v>22</v>
      </c>
      <c r="G40" s="97" t="s">
        <v>22</v>
      </c>
      <c r="H40" s="97" t="s">
        <v>22</v>
      </c>
      <c r="I40" s="97" t="s">
        <v>22</v>
      </c>
      <c r="J40" s="97" t="s">
        <v>22</v>
      </c>
      <c r="K40" s="35" t="s">
        <v>22</v>
      </c>
      <c r="L40" s="97" t="s">
        <v>22</v>
      </c>
      <c r="M40" s="97" t="s">
        <v>22</v>
      </c>
      <c r="N40" s="101" t="s">
        <v>22</v>
      </c>
      <c r="O40" s="11"/>
    </row>
    <row r="41" spans="2:15" ht="14.1" customHeight="1" x14ac:dyDescent="0.2">
      <c r="B41" s="140"/>
      <c r="C41" s="141"/>
      <c r="D41" s="99" t="s">
        <v>6</v>
      </c>
      <c r="E41" s="97" t="s">
        <v>22</v>
      </c>
      <c r="F41" s="97" t="s">
        <v>22</v>
      </c>
      <c r="G41" s="97" t="s">
        <v>22</v>
      </c>
      <c r="H41" s="97" t="s">
        <v>22</v>
      </c>
      <c r="I41" s="97" t="s">
        <v>22</v>
      </c>
      <c r="J41" s="97" t="s">
        <v>22</v>
      </c>
      <c r="K41" s="35" t="s">
        <v>22</v>
      </c>
      <c r="L41" s="97" t="s">
        <v>22</v>
      </c>
      <c r="M41" s="97" t="s">
        <v>22</v>
      </c>
      <c r="N41" s="101" t="s">
        <v>22</v>
      </c>
      <c r="O41" s="11"/>
    </row>
    <row r="42" spans="2:15" ht="14.1" customHeight="1" thickBot="1" x14ac:dyDescent="0.25">
      <c r="B42" s="140"/>
      <c r="C42" s="141"/>
      <c r="D42" s="63" t="s">
        <v>7</v>
      </c>
      <c r="E42" s="55" t="s">
        <v>22</v>
      </c>
      <c r="F42" s="55" t="s">
        <v>22</v>
      </c>
      <c r="G42" s="55" t="s">
        <v>22</v>
      </c>
      <c r="H42" s="55" t="s">
        <v>22</v>
      </c>
      <c r="I42" s="55" t="s">
        <v>22</v>
      </c>
      <c r="J42" s="55" t="s">
        <v>22</v>
      </c>
      <c r="K42" s="83" t="s">
        <v>22</v>
      </c>
      <c r="L42" s="55" t="s">
        <v>22</v>
      </c>
      <c r="M42" s="55" t="s">
        <v>22</v>
      </c>
      <c r="N42" s="23" t="s">
        <v>22</v>
      </c>
      <c r="O42" s="11"/>
    </row>
    <row r="43" spans="2:15" ht="14.1" customHeight="1" x14ac:dyDescent="0.2">
      <c r="B43" s="140"/>
      <c r="C43" s="141"/>
      <c r="D43" s="104" t="s">
        <v>86</v>
      </c>
      <c r="E43" s="57" t="s">
        <v>22</v>
      </c>
      <c r="F43" s="57" t="s">
        <v>22</v>
      </c>
      <c r="G43" s="57" t="s">
        <v>22</v>
      </c>
      <c r="H43" s="57" t="s">
        <v>22</v>
      </c>
      <c r="I43" s="57" t="s">
        <v>22</v>
      </c>
      <c r="J43" s="57" t="s">
        <v>22</v>
      </c>
      <c r="K43" s="34" t="s">
        <v>22</v>
      </c>
      <c r="L43" s="57" t="s">
        <v>22</v>
      </c>
      <c r="M43" s="57" t="s">
        <v>22</v>
      </c>
      <c r="N43" s="105" t="s">
        <v>22</v>
      </c>
      <c r="O43" s="11"/>
    </row>
    <row r="44" spans="2:15" ht="14.1" customHeight="1" thickBot="1" x14ac:dyDescent="0.25">
      <c r="B44" s="142"/>
      <c r="C44" s="143"/>
      <c r="D44" s="102" t="s">
        <v>87</v>
      </c>
      <c r="E44" s="59" t="s">
        <v>22</v>
      </c>
      <c r="F44" s="59" t="s">
        <v>22</v>
      </c>
      <c r="G44" s="59" t="s">
        <v>22</v>
      </c>
      <c r="H44" s="59" t="s">
        <v>22</v>
      </c>
      <c r="I44" s="59" t="s">
        <v>22</v>
      </c>
      <c r="J44" s="59" t="s">
        <v>22</v>
      </c>
      <c r="K44" s="36" t="s">
        <v>22</v>
      </c>
      <c r="L44" s="59" t="s">
        <v>22</v>
      </c>
      <c r="M44" s="59" t="s">
        <v>22</v>
      </c>
      <c r="N44" s="103" t="s">
        <v>22</v>
      </c>
      <c r="O44" s="11"/>
    </row>
    <row r="45" spans="2:15" ht="14.1" customHeight="1" thickBot="1" x14ac:dyDescent="0.25">
      <c r="B45" s="73"/>
      <c r="C45" s="73"/>
      <c r="D45" s="73"/>
      <c r="E45" s="73"/>
      <c r="F45" s="73"/>
      <c r="G45" s="73"/>
      <c r="H45" s="73"/>
      <c r="I45" s="73"/>
      <c r="J45" s="73"/>
      <c r="K45" s="74"/>
      <c r="L45" s="73"/>
      <c r="M45" s="73"/>
      <c r="N45" s="73"/>
      <c r="O45" s="11"/>
    </row>
    <row r="46" spans="2:15" ht="14.1" customHeight="1" thickBot="1" x14ac:dyDescent="0.25">
      <c r="B46" s="136"/>
      <c r="C46" s="137"/>
      <c r="D46" s="81"/>
      <c r="E46" s="77">
        <v>21</v>
      </c>
      <c r="F46" s="77">
        <v>22</v>
      </c>
      <c r="G46" s="77">
        <v>23</v>
      </c>
      <c r="H46" s="77">
        <v>24</v>
      </c>
      <c r="I46" s="77">
        <v>25</v>
      </c>
      <c r="J46" s="78"/>
      <c r="K46" s="78"/>
      <c r="L46" s="78"/>
      <c r="M46" s="78"/>
      <c r="N46" s="79"/>
      <c r="O46" s="11"/>
    </row>
    <row r="47" spans="2:15" ht="14.1" customHeight="1" x14ac:dyDescent="0.2">
      <c r="B47" s="138" t="s">
        <v>1</v>
      </c>
      <c r="C47" s="139"/>
      <c r="D47" s="32" t="s">
        <v>42</v>
      </c>
      <c r="E47" s="43">
        <v>135</v>
      </c>
      <c r="F47" s="43">
        <v>138</v>
      </c>
      <c r="G47" s="43">
        <v>215</v>
      </c>
      <c r="H47" s="43">
        <v>177</v>
      </c>
      <c r="I47" s="43">
        <v>126</v>
      </c>
      <c r="J47" s="25"/>
      <c r="K47" s="37"/>
      <c r="L47" s="25"/>
      <c r="M47" s="25"/>
      <c r="N47" s="26"/>
      <c r="O47" s="11"/>
    </row>
    <row r="48" spans="2:15" ht="14.1" customHeight="1" x14ac:dyDescent="0.2">
      <c r="B48" s="140"/>
      <c r="C48" s="141"/>
      <c r="D48" s="48" t="s">
        <v>43</v>
      </c>
      <c r="E48" s="44">
        <v>178</v>
      </c>
      <c r="F48" s="44">
        <v>163</v>
      </c>
      <c r="G48" s="44">
        <v>133</v>
      </c>
      <c r="H48" s="44">
        <v>233</v>
      </c>
      <c r="I48" s="44">
        <v>184</v>
      </c>
      <c r="J48" s="27"/>
      <c r="K48" s="38"/>
      <c r="L48" s="27"/>
      <c r="M48" s="27"/>
      <c r="N48" s="28"/>
      <c r="O48" s="11"/>
    </row>
    <row r="49" spans="2:15" ht="14.1" customHeight="1" x14ac:dyDescent="0.2">
      <c r="B49" s="140"/>
      <c r="C49" s="141"/>
      <c r="D49" s="48" t="s">
        <v>6</v>
      </c>
      <c r="E49" s="44">
        <v>146</v>
      </c>
      <c r="F49" s="44">
        <v>175</v>
      </c>
      <c r="G49" s="44">
        <v>205</v>
      </c>
      <c r="H49" s="44">
        <v>188</v>
      </c>
      <c r="I49" s="44">
        <v>131</v>
      </c>
      <c r="J49" s="27"/>
      <c r="K49" s="38"/>
      <c r="L49" s="27"/>
      <c r="M49" s="27"/>
      <c r="N49" s="28"/>
      <c r="O49" s="11"/>
    </row>
    <row r="50" spans="2:15" ht="14.1" customHeight="1" thickBot="1" x14ac:dyDescent="0.25">
      <c r="B50" s="140"/>
      <c r="C50" s="141"/>
      <c r="D50" s="63" t="s">
        <v>7</v>
      </c>
      <c r="E50" s="84">
        <v>119</v>
      </c>
      <c r="F50" s="84">
        <v>162</v>
      </c>
      <c r="G50" s="84">
        <v>173</v>
      </c>
      <c r="H50" s="84">
        <v>183</v>
      </c>
      <c r="I50" s="84">
        <v>125</v>
      </c>
      <c r="J50" s="24"/>
      <c r="K50" s="85"/>
      <c r="L50" s="24"/>
      <c r="M50" s="24"/>
      <c r="N50" s="29"/>
      <c r="O50" s="11"/>
    </row>
    <row r="51" spans="2:15" ht="14.1" customHeight="1" x14ac:dyDescent="0.2">
      <c r="B51" s="140"/>
      <c r="C51" s="141"/>
      <c r="D51" s="56" t="s">
        <v>86</v>
      </c>
      <c r="E51" s="57">
        <f>MIN(E47:E50)</f>
        <v>119</v>
      </c>
      <c r="F51" s="57">
        <f t="shared" ref="F51:I51" si="8">MIN(F47:F50)</f>
        <v>138</v>
      </c>
      <c r="G51" s="57">
        <f t="shared" si="8"/>
        <v>133</v>
      </c>
      <c r="H51" s="57">
        <f t="shared" si="8"/>
        <v>177</v>
      </c>
      <c r="I51" s="57">
        <f t="shared" si="8"/>
        <v>125</v>
      </c>
      <c r="J51" s="25"/>
      <c r="K51" s="37"/>
      <c r="L51" s="25"/>
      <c r="M51" s="25"/>
      <c r="N51" s="26"/>
      <c r="O51" s="11"/>
    </row>
    <row r="52" spans="2:15" ht="14.1" customHeight="1" thickBot="1" x14ac:dyDescent="0.25">
      <c r="B52" s="140"/>
      <c r="C52" s="141"/>
      <c r="D52" s="58" t="s">
        <v>87</v>
      </c>
      <c r="E52" s="59">
        <f>ROUNDDOWN(AVERAGE(E47:E50),0)</f>
        <v>144</v>
      </c>
      <c r="F52" s="59">
        <f t="shared" ref="F52:I52" si="9">ROUNDDOWN(AVERAGE(F47:F50),0)</f>
        <v>159</v>
      </c>
      <c r="G52" s="59">
        <f t="shared" si="9"/>
        <v>181</v>
      </c>
      <c r="H52" s="59">
        <f t="shared" si="9"/>
        <v>195</v>
      </c>
      <c r="I52" s="59">
        <f t="shared" si="9"/>
        <v>141</v>
      </c>
      <c r="J52" s="30"/>
      <c r="K52" s="39"/>
      <c r="L52" s="30"/>
      <c r="M52" s="30"/>
      <c r="N52" s="31"/>
      <c r="O52" s="11"/>
    </row>
    <row r="53" spans="2:15" ht="14.1" customHeight="1" x14ac:dyDescent="0.2">
      <c r="B53" s="140" t="s">
        <v>20</v>
      </c>
      <c r="C53" s="141"/>
      <c r="D53" s="46" t="s">
        <v>42</v>
      </c>
      <c r="E53" s="64">
        <v>133</v>
      </c>
      <c r="F53" s="64">
        <v>113</v>
      </c>
      <c r="G53" s="64">
        <v>181</v>
      </c>
      <c r="H53" s="64">
        <v>185</v>
      </c>
      <c r="I53" s="64">
        <v>128</v>
      </c>
      <c r="J53" s="86"/>
      <c r="K53" s="87"/>
      <c r="L53" s="86"/>
      <c r="M53" s="86"/>
      <c r="N53" s="88"/>
      <c r="O53" s="11"/>
    </row>
    <row r="54" spans="2:15" ht="14.1" customHeight="1" x14ac:dyDescent="0.2">
      <c r="B54" s="140"/>
      <c r="C54" s="141"/>
      <c r="D54" s="48" t="s">
        <v>43</v>
      </c>
      <c r="E54" s="47">
        <v>119</v>
      </c>
      <c r="F54" s="47">
        <v>180</v>
      </c>
      <c r="G54" s="47">
        <v>123</v>
      </c>
      <c r="H54" s="47">
        <v>191</v>
      </c>
      <c r="I54" s="47">
        <v>115</v>
      </c>
      <c r="J54" s="27"/>
      <c r="K54" s="38"/>
      <c r="L54" s="27"/>
      <c r="M54" s="27"/>
      <c r="N54" s="28"/>
      <c r="O54" s="11"/>
    </row>
    <row r="55" spans="2:15" ht="14.1" customHeight="1" x14ac:dyDescent="0.2">
      <c r="B55" s="140"/>
      <c r="C55" s="141"/>
      <c r="D55" s="48" t="s">
        <v>6</v>
      </c>
      <c r="E55" s="47">
        <v>398</v>
      </c>
      <c r="F55" s="47">
        <v>171</v>
      </c>
      <c r="G55" s="47">
        <v>197</v>
      </c>
      <c r="H55" s="47">
        <v>193</v>
      </c>
      <c r="I55" s="47">
        <v>123</v>
      </c>
      <c r="J55" s="27"/>
      <c r="K55" s="38"/>
      <c r="L55" s="27"/>
      <c r="M55" s="27"/>
      <c r="N55" s="28"/>
      <c r="O55" s="11"/>
    </row>
    <row r="56" spans="2:15" ht="14.1" customHeight="1" thickBot="1" x14ac:dyDescent="0.25">
      <c r="B56" s="140"/>
      <c r="C56" s="141"/>
      <c r="D56" s="63" t="s">
        <v>7</v>
      </c>
      <c r="E56" s="55">
        <v>194</v>
      </c>
      <c r="F56" s="55">
        <v>168</v>
      </c>
      <c r="G56" s="55">
        <v>138</v>
      </c>
      <c r="H56" s="55">
        <v>142</v>
      </c>
      <c r="I56" s="55">
        <v>124</v>
      </c>
      <c r="J56" s="24"/>
      <c r="K56" s="85"/>
      <c r="L56" s="24"/>
      <c r="M56" s="24"/>
      <c r="N56" s="29"/>
      <c r="O56" s="11"/>
    </row>
    <row r="57" spans="2:15" ht="14.1" customHeight="1" x14ac:dyDescent="0.2">
      <c r="B57" s="140"/>
      <c r="C57" s="141"/>
      <c r="D57" s="56" t="s">
        <v>86</v>
      </c>
      <c r="E57" s="57">
        <f>MIN(E53:E56)</f>
        <v>119</v>
      </c>
      <c r="F57" s="57">
        <f t="shared" ref="F57:I57" si="10">MIN(F53:F56)</f>
        <v>113</v>
      </c>
      <c r="G57" s="57">
        <f t="shared" si="10"/>
        <v>123</v>
      </c>
      <c r="H57" s="57">
        <f t="shared" si="10"/>
        <v>142</v>
      </c>
      <c r="I57" s="57">
        <f t="shared" si="10"/>
        <v>115</v>
      </c>
      <c r="J57" s="25"/>
      <c r="K57" s="37"/>
      <c r="L57" s="25"/>
      <c r="M57" s="25"/>
      <c r="N57" s="26"/>
      <c r="O57" s="11"/>
    </row>
    <row r="58" spans="2:15" ht="14.1" customHeight="1" thickBot="1" x14ac:dyDescent="0.25">
      <c r="B58" s="140"/>
      <c r="C58" s="141"/>
      <c r="D58" s="58" t="s">
        <v>87</v>
      </c>
      <c r="E58" s="59">
        <f>ROUNDDOWN(AVERAGE(E53:E56),0)</f>
        <v>211</v>
      </c>
      <c r="F58" s="59">
        <v>358</v>
      </c>
      <c r="G58" s="59">
        <f t="shared" ref="G58:I58" si="11">ROUNDDOWN(AVERAGE(G53:G56),0)</f>
        <v>159</v>
      </c>
      <c r="H58" s="59">
        <f t="shared" si="11"/>
        <v>177</v>
      </c>
      <c r="I58" s="59">
        <f t="shared" si="11"/>
        <v>122</v>
      </c>
      <c r="J58" s="30"/>
      <c r="K58" s="39"/>
      <c r="L58" s="30"/>
      <c r="M58" s="30"/>
      <c r="N58" s="31"/>
      <c r="O58" s="11"/>
    </row>
    <row r="59" spans="2:15" ht="14.1" customHeight="1" x14ac:dyDescent="0.2">
      <c r="B59" s="140" t="s">
        <v>21</v>
      </c>
      <c r="C59" s="141"/>
      <c r="D59" s="46" t="s">
        <v>42</v>
      </c>
      <c r="E59" s="64" t="s">
        <v>22</v>
      </c>
      <c r="F59" s="64" t="s">
        <v>22</v>
      </c>
      <c r="G59" s="64" t="s">
        <v>22</v>
      </c>
      <c r="H59" s="64" t="s">
        <v>22</v>
      </c>
      <c r="I59" s="64" t="s">
        <v>22</v>
      </c>
      <c r="J59" s="86"/>
      <c r="K59" s="89"/>
      <c r="L59" s="86"/>
      <c r="M59" s="86"/>
      <c r="N59" s="88"/>
      <c r="O59" s="11"/>
    </row>
    <row r="60" spans="2:15" ht="14.1" customHeight="1" x14ac:dyDescent="0.2">
      <c r="B60" s="140"/>
      <c r="C60" s="141"/>
      <c r="D60" s="48" t="s">
        <v>43</v>
      </c>
      <c r="E60" s="47" t="s">
        <v>22</v>
      </c>
      <c r="F60" s="47" t="s">
        <v>22</v>
      </c>
      <c r="G60" s="47" t="s">
        <v>22</v>
      </c>
      <c r="H60" s="47" t="s">
        <v>22</v>
      </c>
      <c r="I60" s="47" t="s">
        <v>22</v>
      </c>
      <c r="J60" s="27"/>
      <c r="K60" s="41"/>
      <c r="L60" s="27"/>
      <c r="M60" s="27"/>
      <c r="N60" s="28"/>
      <c r="O60" s="11"/>
    </row>
    <row r="61" spans="2:15" ht="14.1" customHeight="1" x14ac:dyDescent="0.2">
      <c r="B61" s="140"/>
      <c r="C61" s="141"/>
      <c r="D61" s="48" t="s">
        <v>6</v>
      </c>
      <c r="E61" s="47" t="s">
        <v>22</v>
      </c>
      <c r="F61" s="47" t="s">
        <v>22</v>
      </c>
      <c r="G61" s="47" t="s">
        <v>22</v>
      </c>
      <c r="H61" s="47" t="s">
        <v>22</v>
      </c>
      <c r="I61" s="47" t="s">
        <v>22</v>
      </c>
      <c r="J61" s="27"/>
      <c r="K61" s="41"/>
      <c r="L61" s="27"/>
      <c r="M61" s="27"/>
      <c r="N61" s="28"/>
      <c r="O61" s="11"/>
    </row>
    <row r="62" spans="2:15" ht="14.1" customHeight="1" thickBot="1" x14ac:dyDescent="0.25">
      <c r="B62" s="140"/>
      <c r="C62" s="141"/>
      <c r="D62" s="63" t="s">
        <v>7</v>
      </c>
      <c r="E62" s="55" t="s">
        <v>22</v>
      </c>
      <c r="F62" s="55" t="s">
        <v>22</v>
      </c>
      <c r="G62" s="55" t="s">
        <v>22</v>
      </c>
      <c r="H62" s="55" t="s">
        <v>22</v>
      </c>
      <c r="I62" s="55" t="s">
        <v>22</v>
      </c>
      <c r="J62" s="24"/>
      <c r="K62" s="76"/>
      <c r="L62" s="24"/>
      <c r="M62" s="24"/>
      <c r="N62" s="29"/>
      <c r="O62" s="11"/>
    </row>
    <row r="63" spans="2:15" ht="14.1" customHeight="1" x14ac:dyDescent="0.2">
      <c r="B63" s="140"/>
      <c r="C63" s="141"/>
      <c r="D63" s="56" t="s">
        <v>86</v>
      </c>
      <c r="E63" s="57" t="s">
        <v>22</v>
      </c>
      <c r="F63" s="57" t="s">
        <v>22</v>
      </c>
      <c r="G63" s="57" t="s">
        <v>22</v>
      </c>
      <c r="H63" s="57" t="s">
        <v>22</v>
      </c>
      <c r="I63" s="57" t="s">
        <v>22</v>
      </c>
      <c r="J63" s="25"/>
      <c r="K63" s="40"/>
      <c r="L63" s="25"/>
      <c r="M63" s="25"/>
      <c r="N63" s="26"/>
      <c r="O63" s="11"/>
    </row>
    <row r="64" spans="2:15" ht="14.1" customHeight="1" thickBot="1" x14ac:dyDescent="0.25">
      <c r="B64" s="142"/>
      <c r="C64" s="143"/>
      <c r="D64" s="58" t="s">
        <v>87</v>
      </c>
      <c r="E64" s="80" t="s">
        <v>22</v>
      </c>
      <c r="F64" s="80" t="s">
        <v>22</v>
      </c>
      <c r="G64" s="80" t="s">
        <v>22</v>
      </c>
      <c r="H64" s="80" t="s">
        <v>22</v>
      </c>
      <c r="I64" s="80" t="s">
        <v>22</v>
      </c>
      <c r="J64" s="30"/>
      <c r="K64" s="42"/>
      <c r="L64" s="30"/>
      <c r="M64" s="30"/>
      <c r="N64" s="31"/>
    </row>
    <row r="65" spans="1:14" ht="14.1" customHeight="1" x14ac:dyDescent="0.2"/>
    <row r="66" spans="1:14" s="1" customFormat="1" ht="19.5" customHeight="1" x14ac:dyDescent="0.2">
      <c r="B66" s="134"/>
      <c r="C66" s="144"/>
      <c r="D66" s="135"/>
      <c r="E66" s="108" t="s">
        <v>25</v>
      </c>
      <c r="F66" s="108"/>
      <c r="G66" s="108"/>
      <c r="H66" s="108" t="s">
        <v>26</v>
      </c>
      <c r="I66" s="108"/>
      <c r="J66" s="108"/>
      <c r="K66" s="108"/>
      <c r="L66" s="108" t="s">
        <v>5</v>
      </c>
      <c r="M66" s="108"/>
      <c r="N66" s="108"/>
    </row>
    <row r="67" spans="1:14" s="1" customFormat="1" ht="19.5" customHeight="1" x14ac:dyDescent="0.2">
      <c r="B67" s="131" t="s">
        <v>27</v>
      </c>
      <c r="C67" s="133"/>
      <c r="D67" s="132"/>
      <c r="E67" s="108" t="s">
        <v>72</v>
      </c>
      <c r="F67" s="108"/>
      <c r="G67" s="108"/>
      <c r="H67" s="108" t="s">
        <v>80</v>
      </c>
      <c r="I67" s="108"/>
      <c r="J67" s="108"/>
      <c r="K67" s="108"/>
      <c r="L67" s="109" t="s">
        <v>75</v>
      </c>
      <c r="M67" s="109"/>
      <c r="N67" s="109"/>
    </row>
    <row r="68" spans="1:14" s="1" customFormat="1" ht="19.5" customHeight="1" x14ac:dyDescent="0.2">
      <c r="A68" s="5"/>
      <c r="B68" s="131" t="s">
        <v>24</v>
      </c>
      <c r="C68" s="133"/>
      <c r="D68" s="132"/>
      <c r="E68" s="108" t="s">
        <v>79</v>
      </c>
      <c r="F68" s="108"/>
      <c r="G68" s="108"/>
      <c r="H68" s="108" t="s">
        <v>76</v>
      </c>
      <c r="I68" s="108"/>
      <c r="J68" s="108"/>
      <c r="K68" s="108"/>
      <c r="L68" s="109" t="s">
        <v>75</v>
      </c>
      <c r="M68" s="109"/>
      <c r="N68" s="109"/>
    </row>
    <row r="69" spans="1:14" s="1" customFormat="1" ht="19.5" customHeight="1" x14ac:dyDescent="0.2">
      <c r="A69" s="5"/>
      <c r="B69" s="131" t="s">
        <v>21</v>
      </c>
      <c r="C69" s="133"/>
      <c r="D69" s="132"/>
      <c r="E69" s="108" t="s">
        <v>63</v>
      </c>
      <c r="F69" s="108"/>
      <c r="G69" s="108"/>
      <c r="H69" s="108" t="s">
        <v>23</v>
      </c>
      <c r="I69" s="108"/>
      <c r="J69" s="108"/>
      <c r="K69" s="108"/>
      <c r="L69" s="109" t="s">
        <v>85</v>
      </c>
      <c r="M69" s="109"/>
      <c r="N69" s="109"/>
    </row>
  </sheetData>
  <mergeCells count="30">
    <mergeCell ref="B19:C24"/>
    <mergeCell ref="A1:N2"/>
    <mergeCell ref="A4:N4"/>
    <mergeCell ref="B6:C6"/>
    <mergeCell ref="B7:C12"/>
    <mergeCell ref="B13:C18"/>
    <mergeCell ref="L66:N66"/>
    <mergeCell ref="B26:C26"/>
    <mergeCell ref="B27:C32"/>
    <mergeCell ref="B33:C38"/>
    <mergeCell ref="B39:C44"/>
    <mergeCell ref="B46:C46"/>
    <mergeCell ref="B47:C52"/>
    <mergeCell ref="B53:C58"/>
    <mergeCell ref="B59:C64"/>
    <mergeCell ref="B66:D66"/>
    <mergeCell ref="E66:G66"/>
    <mergeCell ref="H66:K66"/>
    <mergeCell ref="B69:D69"/>
    <mergeCell ref="E69:G69"/>
    <mergeCell ref="H69:K69"/>
    <mergeCell ref="L69:N69"/>
    <mergeCell ref="B67:D67"/>
    <mergeCell ref="E67:G67"/>
    <mergeCell ref="H67:K67"/>
    <mergeCell ref="L67:N67"/>
    <mergeCell ref="B68:D68"/>
    <mergeCell ref="E68:G68"/>
    <mergeCell ref="H68:K68"/>
    <mergeCell ref="L68:N68"/>
  </mergeCells>
  <phoneticPr fontId="2"/>
  <pageMargins left="0.78740157480314965" right="0.78740157480314965" top="0.19685039370078741" bottom="0.78740157480314965" header="0.51181102362204722" footer="0.51181102362204722"/>
  <pageSetup paperSize="9" scale="85" orientation="portrait" useFirstPageNumber="1" r:id="rId1"/>
  <headerFooter alignWithMargins="0">
    <oddFooter>&amp;C4-1-&amp;P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問題文</vt:lpstr>
      <vt:lpstr>付属品検査(比較データ)</vt:lpstr>
      <vt:lpstr>寸法検査（比較データ）</vt:lpstr>
      <vt:lpstr>塗装検査（比較データ）</vt:lpstr>
      <vt:lpstr>'寸法検査（比較データ）'!Print_Area</vt:lpstr>
      <vt:lpstr>'塗装検査（比較データ）'!Print_Area</vt:lpstr>
      <vt:lpstr>'付属品検査(比較データ)'!Print_Area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</dc:creator>
  <cp:lastModifiedBy>石田 耕一郎[Koichiro_ISHIDA]</cp:lastModifiedBy>
  <cp:lastPrinted>2026-02-17T11:26:26Z</cp:lastPrinted>
  <dcterms:created xsi:type="dcterms:W3CDTF">2015-02-18T02:10:20Z</dcterms:created>
  <dcterms:modified xsi:type="dcterms:W3CDTF">2026-02-23T08:22:47Z</dcterms:modified>
</cp:coreProperties>
</file>